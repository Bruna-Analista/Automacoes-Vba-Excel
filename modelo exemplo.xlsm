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runa.zordenoni\Desktop\Bruna\Projects\POWER BI\Hotelaria\2025\"/>
    </mc:Choice>
  </mc:AlternateContent>
  <bookViews>
    <workbookView xWindow="-120" yWindow="-120" windowWidth="24240" windowHeight="13140" tabRatio="609"/>
  </bookViews>
  <sheets>
    <sheet name="duplicidade" sheetId="7" r:id="rId1"/>
    <sheet name="preencher vazios" sheetId="8" r:id="rId2"/>
  </sheets>
  <definedNames>
    <definedName name="SegmentaçãodeDados_NOME_FUNCIONÁRIO">#N/A</definedName>
    <definedName name="SegmentaçãodeDados_NOME_FUNCIONÁRIO1">#N/A</definedName>
  </definedNames>
  <calcPr calcId="152511" iterateDelta="1E-4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8" l="1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I3" i="8"/>
  <c r="K19" i="7"/>
  <c r="K18" i="7"/>
  <c r="I3" i="7"/>
  <c r="K6" i="7" l="1"/>
  <c r="K7" i="7"/>
  <c r="K8" i="7"/>
  <c r="K9" i="7"/>
  <c r="K10" i="7"/>
  <c r="K11" i="7"/>
  <c r="K12" i="7"/>
  <c r="K13" i="7"/>
  <c r="K14" i="7"/>
  <c r="K15" i="7"/>
  <c r="K16" i="7"/>
  <c r="K17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U4" i="7" l="1"/>
  <c r="L4" i="7"/>
  <c r="N4" i="7" l="1"/>
  <c r="O4" i="7"/>
  <c r="P4" i="7"/>
  <c r="Q4" i="7"/>
  <c r="R4" i="7"/>
  <c r="S4" i="7"/>
  <c r="T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M4" i="7"/>
</calcChain>
</file>

<file path=xl/sharedStrings.xml><?xml version="1.0" encoding="utf-8"?>
<sst xmlns="http://schemas.openxmlformats.org/spreadsheetml/2006/main" count="402" uniqueCount="74">
  <si>
    <t>OBRA</t>
  </si>
  <si>
    <t>N° NF</t>
  </si>
  <si>
    <t>MATR.</t>
  </si>
  <si>
    <t>NOME FUNCIONÁRIO</t>
  </si>
  <si>
    <t>FUNÇÃO</t>
  </si>
  <si>
    <t>LOCAL</t>
  </si>
  <si>
    <t>TIPO</t>
  </si>
  <si>
    <t>NOME FANTASIA</t>
  </si>
  <si>
    <t>HOTEL/ALOJAMENTO</t>
  </si>
  <si>
    <t>HOSP</t>
  </si>
  <si>
    <t>QT DE HOTEIS HOSPEDADO</t>
  </si>
  <si>
    <t>AGUA</t>
  </si>
  <si>
    <t>LAVAND</t>
  </si>
  <si>
    <t>21/3</t>
  </si>
  <si>
    <t>22/3</t>
  </si>
  <si>
    <t>23/3</t>
  </si>
  <si>
    <t>24/3</t>
  </si>
  <si>
    <t>25/3</t>
  </si>
  <si>
    <t>26/3</t>
  </si>
  <si>
    <t>27/3</t>
  </si>
  <si>
    <t>28/3</t>
  </si>
  <si>
    <t>29/3</t>
  </si>
  <si>
    <t>30/3</t>
  </si>
  <si>
    <t>31/3</t>
  </si>
  <si>
    <t>1/4</t>
  </si>
  <si>
    <t>2/4</t>
  </si>
  <si>
    <t>3/4</t>
  </si>
  <si>
    <t>4/4</t>
  </si>
  <si>
    <t>5/4</t>
  </si>
  <si>
    <t>6/4</t>
  </si>
  <si>
    <t>7/4</t>
  </si>
  <si>
    <t>8/4</t>
  </si>
  <si>
    <t>9/4</t>
  </si>
  <si>
    <t>10/4</t>
  </si>
  <si>
    <t>11/4</t>
  </si>
  <si>
    <t>12/4</t>
  </si>
  <si>
    <t>13/4</t>
  </si>
  <si>
    <t>14/4</t>
  </si>
  <si>
    <t>15/4</t>
  </si>
  <si>
    <t>16/4</t>
  </si>
  <si>
    <t>17/4</t>
  </si>
  <si>
    <t>18/4</t>
  </si>
  <si>
    <t>19/4</t>
  </si>
  <si>
    <t>20/4</t>
  </si>
  <si>
    <t>FECHAMENTO MEDIÇÕES DE HOSPEDAGEM 21/03 A 20/04/2025 (MEDIÇÃO ATUAL)</t>
  </si>
  <si>
    <t>A</t>
  </si>
  <si>
    <t>LAVANDERIA ESCOPEL</t>
  </si>
  <si>
    <t>GUARUJA/SP</t>
  </si>
  <si>
    <t>JULIO PEREIRA RODRIGUES</t>
  </si>
  <si>
    <t>CARLOS SANTOS DA CRUZ</t>
  </si>
  <si>
    <t>JULIANO MORAES DO CARMO</t>
  </si>
  <si>
    <t>SEVERINO COSTA PEIXOTO</t>
  </si>
  <si>
    <t xml:space="preserve">OPERADOR </t>
  </si>
  <si>
    <t>B</t>
  </si>
  <si>
    <t>HOTEL PLIN</t>
  </si>
  <si>
    <t>BELO HORIZONTE/MG</t>
  </si>
  <si>
    <t>CASSIO MARTINS DE SOUSA</t>
  </si>
  <si>
    <t xml:space="preserve">TECNICO </t>
  </si>
  <si>
    <t>CLARA PEDROSA</t>
  </si>
  <si>
    <t xml:space="preserve">KARLA MELO </t>
  </si>
  <si>
    <t>C</t>
  </si>
  <si>
    <t>JURUENA/MT</t>
  </si>
  <si>
    <t>HOTEL SAPEZAL</t>
  </si>
  <si>
    <t>ARIPUANA HOTEL</t>
  </si>
  <si>
    <t>ENGENHEIRO</t>
  </si>
  <si>
    <t>MARIA GERALDA DE</t>
  </si>
  <si>
    <t>JUNIOR CAIAN LINS NEVES</t>
  </si>
  <si>
    <t>PALOMA FREITAS</t>
  </si>
  <si>
    <t>CONTROLADORA</t>
  </si>
  <si>
    <t>NAILTON JONAS FILHO</t>
  </si>
  <si>
    <t>TECNICO</t>
  </si>
  <si>
    <t>LAIS HENRIQUE PIRES</t>
  </si>
  <si>
    <t>ASSISTENTE</t>
  </si>
  <si>
    <t>PEDRO GILBERTO TORRES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</si>
</sst>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R$&quot;* #,##0.00_);_(&quot;R$&quot;* \(#,##0.00\);_(&quot;R$&quot;* &quot;-&quot;??_);_(@_)"/>
    <numFmt numFmtId="165" formatCode="[$-416]mmmm\-yy;@"/>
    <numFmt numFmtId="166" formatCode="ddd"/>
    <numFmt numFmtId="167" formatCode="d/m;@"/>
    <numFmt numFmtId="169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6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5" fillId="0" borderId="0"/>
    <xf numFmtId="0" fontId="3" fillId="0" borderId="0"/>
    <xf numFmtId="0" fontId="1" fillId="0" borderId="0"/>
  </cellStyleXfs>
  <cellXfs count="27">
    <xf numFmtId="0" fontId="0" fillId="0" borderId="0" xfId="0"/>
    <xf numFmtId="0" fontId="4" fillId="2" borderId="0" xfId="0" applyFont="1" applyFill="1" applyAlignment="1">
      <alignment wrapText="1"/>
    </xf>
    <xf numFmtId="0" fontId="6" fillId="0" borderId="0" xfId="0" applyFont="1" applyAlignment="1">
      <alignment horizontal="left" vertical="center"/>
    </xf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66" fontId="8" fillId="0" borderId="0" xfId="0" applyNumberFormat="1" applyFont="1" applyAlignment="1">
      <alignment horizontal="center" vertical="center"/>
    </xf>
    <xf numFmtId="0" fontId="8" fillId="0" borderId="0" xfId="0" applyFont="1"/>
    <xf numFmtId="16" fontId="0" fillId="0" borderId="0" xfId="0" applyNumberFormat="1"/>
    <xf numFmtId="0" fontId="6" fillId="2" borderId="0" xfId="0" applyFont="1" applyFill="1" applyAlignment="1">
      <alignment vertical="center"/>
    </xf>
    <xf numFmtId="169" fontId="0" fillId="0" borderId="0" xfId="0" applyNumberFormat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7" fontId="8" fillId="0" borderId="3" xfId="0" applyNumberFormat="1" applyFont="1" applyFill="1" applyBorder="1" applyAlignment="1">
      <alignment horizontal="center" vertical="center" wrapText="1"/>
    </xf>
    <xf numFmtId="167" fontId="8" fillId="0" borderId="4" xfId="0" applyNumberFormat="1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left" vertical="center"/>
    </xf>
    <xf numFmtId="0" fontId="8" fillId="0" borderId="1" xfId="0" applyFont="1" applyBorder="1"/>
    <xf numFmtId="0" fontId="8" fillId="0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/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6" fillId="4" borderId="0" xfId="0" quotePrefix="1" applyNumberFormat="1" applyFont="1" applyFill="1" applyAlignment="1">
      <alignment horizontal="center" vertical="center"/>
    </xf>
  </cellXfs>
  <cellStyles count="6">
    <cellStyle name="Moeda 2" xfId="2"/>
    <cellStyle name="Normal" xfId="0" builtinId="0"/>
    <cellStyle name="Normal 2" xfId="3"/>
    <cellStyle name="Normal 2 10" xfId="1"/>
    <cellStyle name="Normal 3 2" xfId="5"/>
    <cellStyle name="Normal 5" xfId="4"/>
  </cellStyles>
  <dxfs count="110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rgb="FFBFBFBF"/>
        </top>
      </border>
    </dxf>
    <dxf>
      <border>
        <bottom style="thin">
          <color rgb="FFBFBFBF"/>
        </bottom>
      </border>
    </dxf>
    <dxf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22"/>
        <color rgb="FF000000"/>
        <name val="Arial Narrow"/>
        <scheme val="none"/>
      </font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68" formatCode="dd"/>
      <alignment horizontal="center" vertical="center" textRotation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numFmt numFmtId="0" formatCode="General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68" formatCode="dd"/>
      <alignment horizontal="center" vertical="center" textRotation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>
        <bottom style="thin">
          <color theme="0" tint="-0.24994659260841701"/>
        </bottom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rial Narrow"/>
        <scheme val="none"/>
      </font>
    </dxf>
  </dxfs>
  <tableStyles count="0" defaultTableStyle="TableStyleMedium9" defaultPivotStyle="PivotStyleLight16"/>
  <colors>
    <mruColors>
      <color rgb="FFCCECFF"/>
      <color rgb="FF99CCFF"/>
      <color rgb="FFFF9999"/>
      <color rgb="FFFFCC99"/>
      <color rgb="FF33CCCC"/>
      <color rgb="FFCC99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microsoft.com/office/2007/relationships/slicerCache" Target="slicerCaches/slicerCache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2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543582</xdr:colOff>
      <xdr:row>48</xdr:row>
      <xdr:rowOff>19329</xdr:rowOff>
    </xdr:from>
    <xdr:to>
      <xdr:col>5</xdr:col>
      <xdr:colOff>1569158</xdr:colOff>
      <xdr:row>75</xdr:row>
      <xdr:rowOff>117158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NOME FUNCIONÁR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FUNCIONÁR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8749" y="16148329"/>
              <a:ext cx="5089576" cy="52413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2013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4141</xdr:colOff>
      <xdr:row>0</xdr:row>
      <xdr:rowOff>351090</xdr:rowOff>
    </xdr:from>
    <xdr:to>
      <xdr:col>10</xdr:col>
      <xdr:colOff>308298</xdr:colOff>
      <xdr:row>3</xdr:row>
      <xdr:rowOff>190499</xdr:rowOff>
    </xdr:to>
    <xdr:sp macro="" textlink="$I$3">
      <xdr:nvSpPr>
        <xdr:cNvPr id="4" name="CaixaDeTexto 3"/>
        <xdr:cNvSpPr txBox="1"/>
      </xdr:nvSpPr>
      <xdr:spPr>
        <a:xfrm>
          <a:off x="10777974" y="351090"/>
          <a:ext cx="3267491" cy="876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8C9115-5691-4D91-ADA7-4246AACA886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t> R$ 17.558,00 </a:t>
          </a:fld>
          <a:endParaRPr lang="pt-BR" sz="4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543582</xdr:colOff>
      <xdr:row>58</xdr:row>
      <xdr:rowOff>188662</xdr:rowOff>
    </xdr:from>
    <xdr:to>
      <xdr:col>5</xdr:col>
      <xdr:colOff>1569158</xdr:colOff>
      <xdr:row>86</xdr:row>
      <xdr:rowOff>95991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NOME FUNCIONÁRI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FUNCIONÁRI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88749" y="16148329"/>
              <a:ext cx="5089576" cy="52413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2013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4141</xdr:colOff>
      <xdr:row>0</xdr:row>
      <xdr:rowOff>351090</xdr:rowOff>
    </xdr:from>
    <xdr:to>
      <xdr:col>10</xdr:col>
      <xdr:colOff>308298</xdr:colOff>
      <xdr:row>3</xdr:row>
      <xdr:rowOff>190499</xdr:rowOff>
    </xdr:to>
    <xdr:sp macro="" textlink="$I$3">
      <xdr:nvSpPr>
        <xdr:cNvPr id="3" name="CaixaDeTexto 2"/>
        <xdr:cNvSpPr txBox="1"/>
      </xdr:nvSpPr>
      <xdr:spPr>
        <a:xfrm>
          <a:off x="11091241" y="351090"/>
          <a:ext cx="3266432" cy="8871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8C9115-5691-4D91-ADA7-4246AACA8867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t> R$ 13.302,00 </a:t>
          </a:fld>
          <a:endParaRPr lang="pt-BR" sz="4400" b="1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_FUNCIONÁRIO" sourceName="NOME FUNCIONÁRIO">
  <extLst>
    <x:ext xmlns:x15="http://schemas.microsoft.com/office/spreadsheetml/2010/11/main" uri="{2F2917AC-EB37-4324-AD4E-5DD8C200BD13}">
      <x15:tableSlicerCache tableId="1" column="7">
        <x15:extLst>
          <ext xmlns="http://schemas.openxmlformats.org/spreadsheetml/2006/main" xmlns:xcalcf="http://schemas.microsoft.com/office/spreadsheetml/2018/calcfeatures" uri="{B58B0392-4F1F-4190-BB64-5DF3571DCE5F}">
            <xcalcf:calcFeatures>
              <xcalcf:feature name="microsoft.com:RD"/>
              <xcalcf:feature name="microsoft.com:FV"/>
              <xcalcf:feature name="microsoft.com:LET_WF"/>
            </xcalcf:calcFeatures>
          </ext>
        </x15:extLst>
      </x15:tableSlicerCache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_FUNCIONÁRIO1" sourceName="NOME FUNCIONÁRIO">
  <extLst>
    <x:ext xmlns:x15="http://schemas.microsoft.com/office/spreadsheetml/2010/11/main" uri="{2F2917AC-EB37-4324-AD4E-5DD8C200BD13}">
      <x15:tableSlicerCache tableId="2" column="7">
        <x15:extLst>
          <ext xmlns="http://schemas.openxmlformats.org/spreadsheetml/2006/main" xmlns:xcalcf="http://schemas.microsoft.com/office/spreadsheetml/2018/calcfeatures" uri="{B58B0392-4F1F-4190-BB64-5DF3571DCE5F}">
            <xcalcf:calcFeatures>
              <xcalcf:feature name="microsoft.com:RD"/>
              <xcalcf:feature name="microsoft.com:FV"/>
              <xcalcf:feature name="microsoft.com:LET_WF"/>
            </xcalcf:calcFeatures>
          </ext>
        </x15:extLst>
      </x15:tableSlicerCache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 FUNCIONÁRIO" cache="SegmentaçãodeDados_NOME_FUNCIONÁRIO" caption="NOME FUNCIONÁRIO" columnCount="2" style="SlicerStyleLight2" rowHeight="50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 FUNCIONÁRIO 1" cache="SegmentaçãodeDados_NOME_FUNCIONÁRIO1" caption="NOME FUNCIONÁRIO" columnCount="2" style="SlicerStyleLight2" rowHeight="504000"/>
</slicers>
</file>

<file path=xl/tables/table1.xml><?xml version="1.0" encoding="utf-8"?>
<table xmlns="http://schemas.openxmlformats.org/spreadsheetml/2006/main" id="1" name="Tabela2" displayName="Tabela2" ref="B5:AP36" totalsRowShown="0" headerRowDxfId="96" dataDxfId="109" headerRowBorderDxfId="107" tableBorderDxfId="108" totalsRowBorderDxfId="106">
  <autoFilter ref="B5:AP36"/>
  <sortState ref="B6:AS4194">
    <sortCondition ref="H5:H4194"/>
  </sortState>
  <tableColumns count="41">
    <tableColumn id="1" name="OBRA" dataDxfId="105"/>
    <tableColumn id="2" name="N° NF" dataDxfId="104"/>
    <tableColumn id="3" name="HOTEL/ALOJAMENTO" dataDxfId="103"/>
    <tableColumn id="4" name="NOME FANTASIA" dataDxfId="102"/>
    <tableColumn id="5" name="LOCAL" dataDxfId="101"/>
    <tableColumn id="6" name="MATR." dataDxfId="100"/>
    <tableColumn id="7" name="NOME FUNCIONÁRIO" dataDxfId="99"/>
    <tableColumn id="8" name="FUNÇÃO" dataDxfId="98"/>
    <tableColumn id="46" name="TIPO" dataDxfId="97"/>
    <tableColumn id="9" name="QT DE HOTEIS HOSPEDADO" dataDxfId="95">
      <calculatedColumnFormula>COUNTIFS(Tabela2[NOME FUNCIONÁRIO],Tabela2[[#This Row],[NOME FUNCIONÁRIO]],Tabela2[TIPO],$J$4)</calculatedColumnFormula>
    </tableColumn>
    <tableColumn id="10" name="21/3" dataDxfId="94"/>
    <tableColumn id="11" name="22/3" dataDxfId="93"/>
    <tableColumn id="12" name="23/3" dataDxfId="92"/>
    <tableColumn id="13" name="24/3" dataDxfId="91"/>
    <tableColumn id="14" name="25/3" dataDxfId="90"/>
    <tableColumn id="15" name="26/3" dataDxfId="89"/>
    <tableColumn id="16" name="27/3" dataDxfId="88"/>
    <tableColumn id="17" name="28/3" dataDxfId="87"/>
    <tableColumn id="18" name="29/3" dataDxfId="86"/>
    <tableColumn id="20" name="30/3" dataDxfId="85"/>
    <tableColumn id="19" name="31/3" dataDxfId="84"/>
    <tableColumn id="21" name="1/4" dataDxfId="83"/>
    <tableColumn id="22" name="2/4" dataDxfId="82"/>
    <tableColumn id="23" name="3/4" dataDxfId="81"/>
    <tableColumn id="24" name="4/4" dataDxfId="80"/>
    <tableColumn id="25" name="5/4" dataDxfId="79"/>
    <tableColumn id="26" name="6/4" dataDxfId="78"/>
    <tableColumn id="27" name="7/4" dataDxfId="77"/>
    <tableColumn id="28" name="8/4" dataDxfId="76"/>
    <tableColumn id="29" name="9/4" dataDxfId="75"/>
    <tableColumn id="30" name="10/4" dataDxfId="74"/>
    <tableColumn id="31" name="11/4" dataDxfId="73"/>
    <tableColumn id="32" name="12/4" dataDxfId="72"/>
    <tableColumn id="33" name="13/4" dataDxfId="71"/>
    <tableColumn id="34" name="14/4" dataDxfId="70"/>
    <tableColumn id="35" name="15/4" dataDxfId="69"/>
    <tableColumn id="36" name="16/4" dataDxfId="68"/>
    <tableColumn id="37" name="17/4" dataDxfId="67"/>
    <tableColumn id="38" name="18/4" dataDxfId="66"/>
    <tableColumn id="39" name="19/4" dataDxfId="65"/>
    <tableColumn id="40" name="20/4" dataDxfId="64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2" name="Tabela23" displayName="Tabela23" ref="B5:AP22" totalsRowShown="0" headerRowDxfId="63" dataDxfId="62" headerRowBorderDxfId="60" tableBorderDxfId="61" totalsRowBorderDxfId="59">
  <autoFilter ref="B5:AP22"/>
  <sortState ref="B6:AS4194">
    <sortCondition ref="H5:H4194"/>
  </sortState>
  <tableColumns count="41">
    <tableColumn id="1" name="OBRA" dataDxfId="58"/>
    <tableColumn id="2" name="N° NF" dataDxfId="57"/>
    <tableColumn id="3" name="HOTEL/ALOJAMENTO" dataDxfId="56"/>
    <tableColumn id="4" name="NOME FANTASIA" dataDxfId="55"/>
    <tableColumn id="5" name="LOCAL" dataDxfId="54"/>
    <tableColumn id="6" name="MATR." dataDxfId="53"/>
    <tableColumn id="7" name="NOME FUNCIONÁRIO" dataDxfId="52"/>
    <tableColumn id="8" name="FUNÇÃO" dataDxfId="51"/>
    <tableColumn id="46" name="TIPO" dataDxfId="50"/>
    <tableColumn id="9" name="QT DE HOTEIS HOSPEDADO" dataDxfId="49">
      <calculatedColumnFormula>COUNTIFS(Tabela23[NOME FUNCIONÁRIO],Tabela23[[#This Row],[NOME FUNCIONÁRIO]],Tabela23[TIPO],$J$4)</calculatedColumnFormula>
    </tableColumn>
    <tableColumn id="10" name="21/3" dataDxfId="48"/>
    <tableColumn id="11" name="22/3" dataDxfId="47"/>
    <tableColumn id="12" name="23/3" dataDxfId="46"/>
    <tableColumn id="13" name="24/3" dataDxfId="45"/>
    <tableColumn id="14" name="25/3" dataDxfId="44"/>
    <tableColumn id="15" name="26/3" dataDxfId="43"/>
    <tableColumn id="16" name="27/3" dataDxfId="42"/>
    <tableColumn id="17" name="28/3" dataDxfId="41"/>
    <tableColumn id="18" name="29/3" dataDxfId="40"/>
    <tableColumn id="20" name="30/3" dataDxfId="39"/>
    <tableColumn id="19" name="31/3" dataDxfId="38"/>
    <tableColumn id="21" name="1/4" dataDxfId="37"/>
    <tableColumn id="22" name="2/4" dataDxfId="36"/>
    <tableColumn id="23" name="3/4" dataDxfId="35"/>
    <tableColumn id="24" name="4/4" dataDxfId="34"/>
    <tableColumn id="25" name="5/4" dataDxfId="33"/>
    <tableColumn id="26" name="6/4" dataDxfId="32"/>
    <tableColumn id="27" name="7/4" dataDxfId="31"/>
    <tableColumn id="28" name="8/4" dataDxfId="30"/>
    <tableColumn id="29" name="9/4" dataDxfId="29"/>
    <tableColumn id="30" name="10/4" dataDxfId="28"/>
    <tableColumn id="31" name="11/4" dataDxfId="27"/>
    <tableColumn id="32" name="12/4" dataDxfId="26"/>
    <tableColumn id="33" name="13/4" dataDxfId="25"/>
    <tableColumn id="34" name="14/4" dataDxfId="24"/>
    <tableColumn id="35" name="15/4" dataDxfId="23"/>
    <tableColumn id="36" name="16/4" dataDxfId="22"/>
    <tableColumn id="37" name="17/4" dataDxfId="21"/>
    <tableColumn id="38" name="18/4" dataDxfId="20"/>
    <tableColumn id="39" name="19/4" dataDxfId="19"/>
    <tableColumn id="40" name="20/4" dataDxfId="18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6"/>
  </sheetPr>
  <dimension ref="A1:AP36"/>
  <sheetViews>
    <sheetView showGridLines="0" tabSelected="1" zoomScale="45" zoomScaleNormal="45" workbookViewId="0">
      <selection activeCell="AA22" sqref="AA22"/>
    </sheetView>
  </sheetViews>
  <sheetFormatPr defaultRowHeight="15" x14ac:dyDescent="0.25"/>
  <cols>
    <col min="1" max="1" width="1" customWidth="1"/>
    <col min="2" max="2" width="9.28515625" style="5" bestFit="1" customWidth="1"/>
    <col min="3" max="3" width="12.85546875" customWidth="1"/>
    <col min="4" max="4" width="17.5703125" customWidth="1"/>
    <col min="5" max="5" width="43.42578125" customWidth="1"/>
    <col min="6" max="6" width="27.7109375" bestFit="1" customWidth="1"/>
    <col min="7" max="7" width="12.7109375" customWidth="1"/>
    <col min="8" max="8" width="41.7109375" customWidth="1"/>
    <col min="9" max="9" width="32.42578125" customWidth="1"/>
    <col min="10" max="10" width="12" bestFit="1" customWidth="1"/>
    <col min="11" max="11" width="5.5703125" customWidth="1"/>
    <col min="12" max="12" width="19.28515625" customWidth="1"/>
    <col min="13" max="13" width="18.140625" customWidth="1"/>
    <col min="14" max="14" width="11.42578125" customWidth="1"/>
    <col min="15" max="15" width="13.7109375" customWidth="1"/>
    <col min="16" max="16" width="11.42578125" customWidth="1"/>
    <col min="17" max="17" width="13.42578125" customWidth="1"/>
    <col min="18" max="42" width="11.42578125" customWidth="1"/>
  </cols>
  <sheetData>
    <row r="1" spans="1:42" ht="33.75" x14ac:dyDescent="0.5">
      <c r="A1" s="1"/>
      <c r="B1" s="2"/>
      <c r="D1" s="3"/>
      <c r="E1" s="4" t="s">
        <v>44</v>
      </c>
      <c r="G1" s="11"/>
      <c r="H1" s="11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</row>
    <row r="3" spans="1:42" ht="33.75" x14ac:dyDescent="0.25">
      <c r="H3" s="26">
        <v>45748</v>
      </c>
      <c r="I3" s="12">
        <f>SUBTOTAL(9,Tabela2[[21/3]:[20/4]])</f>
        <v>17558</v>
      </c>
      <c r="J3" t="s">
        <v>12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</row>
    <row r="4" spans="1:42" ht="39.75" customHeight="1" x14ac:dyDescent="0.25">
      <c r="J4" t="s">
        <v>9</v>
      </c>
      <c r="L4" s="8">
        <f>WEEKDAY(Tabela2[[#Headers],[21/3]],17)</f>
        <v>6</v>
      </c>
      <c r="M4" s="8">
        <f>WEEKDAY(Tabela2[[#Headers],[22/3]],17)</f>
        <v>7</v>
      </c>
      <c r="N4" s="8">
        <f>WEEKDAY(Tabela2[[#Headers],[23/3]],17)</f>
        <v>1</v>
      </c>
      <c r="O4" s="8">
        <f>WEEKDAY(Tabela2[[#Headers],[24/3]],17)</f>
        <v>2</v>
      </c>
      <c r="P4" s="8">
        <f>WEEKDAY(Tabela2[[#Headers],[25/3]],17)</f>
        <v>3</v>
      </c>
      <c r="Q4" s="8">
        <f>WEEKDAY(Tabela2[[#Headers],[26/3]],17)</f>
        <v>4</v>
      </c>
      <c r="R4" s="8">
        <f>WEEKDAY(Tabela2[[#Headers],[27/3]],17)</f>
        <v>5</v>
      </c>
      <c r="S4" s="8">
        <f>WEEKDAY(Tabela2[[#Headers],[28/3]],17)</f>
        <v>6</v>
      </c>
      <c r="T4" s="8">
        <f>WEEKDAY(Tabela2[[#Headers],[29/3]],17)</f>
        <v>7</v>
      </c>
      <c r="U4" s="8">
        <f>WEEKDAY(Tabela2[[#Headers],[30/3]],17)</f>
        <v>1</v>
      </c>
      <c r="V4" s="8">
        <f>WEEKDAY(Tabela2[[#Headers],[31/3]],17)</f>
        <v>2</v>
      </c>
      <c r="W4" s="8">
        <f>WEEKDAY(Tabela2[[#Headers],[1/4]],17)</f>
        <v>3</v>
      </c>
      <c r="X4" s="8">
        <f>WEEKDAY(Tabela2[[#Headers],[2/4]],17)</f>
        <v>4</v>
      </c>
      <c r="Y4" s="8">
        <f>WEEKDAY(Tabela2[[#Headers],[3/4]],17)</f>
        <v>5</v>
      </c>
      <c r="Z4" s="8">
        <f>WEEKDAY(Tabela2[[#Headers],[4/4]],17)</f>
        <v>6</v>
      </c>
      <c r="AA4" s="8">
        <f>WEEKDAY(Tabela2[[#Headers],[5/4]],17)</f>
        <v>7</v>
      </c>
      <c r="AB4" s="8">
        <f>WEEKDAY(Tabela2[[#Headers],[6/4]],17)</f>
        <v>1</v>
      </c>
      <c r="AC4" s="8">
        <f>WEEKDAY(Tabela2[[#Headers],[7/4]],17)</f>
        <v>2</v>
      </c>
      <c r="AD4" s="8">
        <f>WEEKDAY(Tabela2[[#Headers],[8/4]],17)</f>
        <v>3</v>
      </c>
      <c r="AE4" s="8">
        <f>WEEKDAY(Tabela2[[#Headers],[9/4]],17)</f>
        <v>4</v>
      </c>
      <c r="AF4" s="8">
        <f>WEEKDAY(Tabela2[[#Headers],[10/4]],17)</f>
        <v>5</v>
      </c>
      <c r="AG4" s="8">
        <f>WEEKDAY(Tabela2[[#Headers],[11/4]],17)</f>
        <v>6</v>
      </c>
      <c r="AH4" s="8">
        <f>WEEKDAY(Tabela2[[#Headers],[12/4]],17)</f>
        <v>7</v>
      </c>
      <c r="AI4" s="8">
        <f>WEEKDAY(Tabela2[[#Headers],[13/4]],17)</f>
        <v>1</v>
      </c>
      <c r="AJ4" s="8">
        <f>WEEKDAY(Tabela2[[#Headers],[14/4]],17)</f>
        <v>2</v>
      </c>
      <c r="AK4" s="8">
        <f>WEEKDAY(Tabela2[[#Headers],[15/4]],17)</f>
        <v>3</v>
      </c>
      <c r="AL4" s="8">
        <f>WEEKDAY(Tabela2[[#Headers],[16/4]],17)</f>
        <v>4</v>
      </c>
      <c r="AM4" s="8">
        <f>WEEKDAY(Tabela2[[#Headers],[17/4]],17)</f>
        <v>5</v>
      </c>
      <c r="AN4" s="8">
        <f>WEEKDAY(Tabela2[[#Headers],[18/4]],17)</f>
        <v>6</v>
      </c>
      <c r="AO4" s="8">
        <f>WEEKDAY(Tabela2[[#Headers],[19/4]],17)</f>
        <v>7</v>
      </c>
      <c r="AP4" s="8">
        <f>WEEKDAY(Tabela2[[#Headers],[20/4]],17)</f>
        <v>1</v>
      </c>
    </row>
    <row r="5" spans="1:42" s="6" customFormat="1" ht="141.75" customHeight="1" x14ac:dyDescent="0.25">
      <c r="B5" s="13" t="s">
        <v>0</v>
      </c>
      <c r="C5" s="14" t="s">
        <v>1</v>
      </c>
      <c r="D5" s="14" t="s">
        <v>8</v>
      </c>
      <c r="E5" s="14" t="s">
        <v>7</v>
      </c>
      <c r="F5" s="14" t="s">
        <v>5</v>
      </c>
      <c r="G5" s="14" t="s">
        <v>2</v>
      </c>
      <c r="H5" s="14" t="s">
        <v>3</v>
      </c>
      <c r="I5" s="14" t="s">
        <v>4</v>
      </c>
      <c r="J5" s="14" t="s">
        <v>6</v>
      </c>
      <c r="K5" s="14" t="s">
        <v>10</v>
      </c>
      <c r="L5" s="15" t="s">
        <v>13</v>
      </c>
      <c r="M5" s="15" t="s">
        <v>14</v>
      </c>
      <c r="N5" s="15" t="s">
        <v>15</v>
      </c>
      <c r="O5" s="15" t="s">
        <v>16</v>
      </c>
      <c r="P5" s="15" t="s">
        <v>17</v>
      </c>
      <c r="Q5" s="15" t="s">
        <v>18</v>
      </c>
      <c r="R5" s="15" t="s">
        <v>19</v>
      </c>
      <c r="S5" s="15" t="s">
        <v>20</v>
      </c>
      <c r="T5" s="15" t="s">
        <v>21</v>
      </c>
      <c r="U5" s="15" t="s">
        <v>22</v>
      </c>
      <c r="V5" s="15" t="s">
        <v>23</v>
      </c>
      <c r="W5" s="15" t="s">
        <v>24</v>
      </c>
      <c r="X5" s="15" t="s">
        <v>25</v>
      </c>
      <c r="Y5" s="15" t="s">
        <v>26</v>
      </c>
      <c r="Z5" s="15" t="s">
        <v>27</v>
      </c>
      <c r="AA5" s="15" t="s">
        <v>28</v>
      </c>
      <c r="AB5" s="15" t="s">
        <v>29</v>
      </c>
      <c r="AC5" s="15" t="s">
        <v>30</v>
      </c>
      <c r="AD5" s="15" t="s">
        <v>31</v>
      </c>
      <c r="AE5" s="15" t="s">
        <v>32</v>
      </c>
      <c r="AF5" s="15" t="s">
        <v>33</v>
      </c>
      <c r="AG5" s="15" t="s">
        <v>34</v>
      </c>
      <c r="AH5" s="15" t="s">
        <v>35</v>
      </c>
      <c r="AI5" s="15" t="s">
        <v>36</v>
      </c>
      <c r="AJ5" s="15" t="s">
        <v>37</v>
      </c>
      <c r="AK5" s="15" t="s">
        <v>38</v>
      </c>
      <c r="AL5" s="15" t="s">
        <v>39</v>
      </c>
      <c r="AM5" s="15" t="s">
        <v>40</v>
      </c>
      <c r="AN5" s="15" t="s">
        <v>41</v>
      </c>
      <c r="AO5" s="15" t="s">
        <v>42</v>
      </c>
      <c r="AP5" s="16" t="s">
        <v>43</v>
      </c>
    </row>
    <row r="6" spans="1:42" s="9" customFormat="1" ht="27" customHeight="1" x14ac:dyDescent="0.35">
      <c r="B6" s="17" t="s">
        <v>53</v>
      </c>
      <c r="C6" s="18">
        <v>26917</v>
      </c>
      <c r="D6" s="18" t="s">
        <v>54</v>
      </c>
      <c r="E6" s="18" t="s">
        <v>54</v>
      </c>
      <c r="F6" s="18" t="s">
        <v>55</v>
      </c>
      <c r="G6" s="18">
        <v>0</v>
      </c>
      <c r="H6" s="18" t="s">
        <v>59</v>
      </c>
      <c r="I6" s="18" t="s">
        <v>52</v>
      </c>
      <c r="J6" s="18" t="s">
        <v>9</v>
      </c>
      <c r="K6" s="18">
        <f>COUNTIFS(Tabela2[NOME FUNCIONÁRIO],Tabela2[[#This Row],[NOME FUNCIONÁRIO]],Tabela2[TIPO],$J$4)</f>
        <v>1</v>
      </c>
      <c r="L6" s="19"/>
      <c r="M6" s="19"/>
      <c r="N6" s="19"/>
      <c r="O6" s="19"/>
      <c r="P6" s="19">
        <v>140</v>
      </c>
      <c r="Q6" s="19">
        <v>140</v>
      </c>
      <c r="R6" s="19">
        <v>140</v>
      </c>
      <c r="S6" s="19">
        <v>140</v>
      </c>
      <c r="T6" s="19">
        <v>140</v>
      </c>
      <c r="U6" s="19">
        <v>140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1"/>
    </row>
    <row r="7" spans="1:42" s="9" customFormat="1" ht="27" customHeight="1" x14ac:dyDescent="0.35">
      <c r="B7" s="17" t="s">
        <v>53</v>
      </c>
      <c r="C7" s="18">
        <v>26917</v>
      </c>
      <c r="D7" s="18" t="s">
        <v>54</v>
      </c>
      <c r="E7" s="18" t="s">
        <v>54</v>
      </c>
      <c r="F7" s="18" t="s">
        <v>55</v>
      </c>
      <c r="G7" s="18">
        <v>0</v>
      </c>
      <c r="H7" s="18" t="s">
        <v>59</v>
      </c>
      <c r="I7" s="18" t="s">
        <v>52</v>
      </c>
      <c r="J7" s="18" t="s">
        <v>12</v>
      </c>
      <c r="K7" s="18">
        <f>COUNTIFS(Tabela2[NOME FUNCIONÁRIO],Tabela2[[#This Row],[NOME FUNCIONÁRIO]],Tabela2[TIPO],$J$4)</f>
        <v>1</v>
      </c>
      <c r="L7" s="19"/>
      <c r="M7" s="19"/>
      <c r="N7" s="19"/>
      <c r="O7" s="19"/>
      <c r="P7" s="19"/>
      <c r="Q7" s="19"/>
      <c r="R7" s="19"/>
      <c r="S7" s="19">
        <v>27</v>
      </c>
      <c r="T7" s="19"/>
      <c r="U7" s="19">
        <v>27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21"/>
    </row>
    <row r="8" spans="1:42" s="9" customFormat="1" ht="27" customHeight="1" x14ac:dyDescent="0.35">
      <c r="B8" s="17" t="s">
        <v>53</v>
      </c>
      <c r="C8" s="18">
        <v>26917</v>
      </c>
      <c r="D8" s="18" t="s">
        <v>54</v>
      </c>
      <c r="E8" s="18" t="s">
        <v>54</v>
      </c>
      <c r="F8" s="18" t="s">
        <v>55</v>
      </c>
      <c r="G8" s="18">
        <v>0</v>
      </c>
      <c r="H8" s="18" t="s">
        <v>50</v>
      </c>
      <c r="I8" s="18" t="s">
        <v>52</v>
      </c>
      <c r="J8" s="18" t="s">
        <v>9</v>
      </c>
      <c r="K8" s="18">
        <f>COUNTIFS(Tabela2[NOME FUNCIONÁRIO],Tabela2[[#This Row],[NOME FUNCIONÁRIO]],Tabela2[TIPO],$J$4)</f>
        <v>2</v>
      </c>
      <c r="L8" s="19"/>
      <c r="M8" s="19"/>
      <c r="N8" s="19"/>
      <c r="O8" s="20">
        <v>140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21"/>
    </row>
    <row r="9" spans="1:42" s="9" customFormat="1" ht="27" customHeight="1" x14ac:dyDescent="0.35">
      <c r="B9" s="17" t="s">
        <v>53</v>
      </c>
      <c r="C9" s="18">
        <v>26917</v>
      </c>
      <c r="D9" s="18" t="s">
        <v>54</v>
      </c>
      <c r="E9" s="18" t="s">
        <v>54</v>
      </c>
      <c r="F9" s="18" t="s">
        <v>55</v>
      </c>
      <c r="G9" s="18">
        <v>0</v>
      </c>
      <c r="H9" s="18" t="s">
        <v>50</v>
      </c>
      <c r="I9" s="18" t="s">
        <v>52</v>
      </c>
      <c r="J9" s="18" t="s">
        <v>12</v>
      </c>
      <c r="K9" s="18">
        <f>COUNTIFS(Tabela2[NOME FUNCIONÁRIO],Tabela2[[#This Row],[NOME FUNCIONÁRIO]],Tabela2[TIPO],$J$4)</f>
        <v>2</v>
      </c>
      <c r="L9" s="19"/>
      <c r="M9" s="19"/>
      <c r="N9" s="19"/>
      <c r="O9" s="19"/>
      <c r="P9" s="19">
        <v>18</v>
      </c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21"/>
    </row>
    <row r="10" spans="1:42" s="9" customFormat="1" ht="27" customHeight="1" x14ac:dyDescent="0.35">
      <c r="B10" s="17" t="s">
        <v>53</v>
      </c>
      <c r="C10" s="18">
        <v>26917</v>
      </c>
      <c r="D10" s="18" t="s">
        <v>54</v>
      </c>
      <c r="E10" s="18" t="s">
        <v>54</v>
      </c>
      <c r="F10" s="18" t="s">
        <v>55</v>
      </c>
      <c r="G10" s="18">
        <v>0</v>
      </c>
      <c r="H10" s="18" t="s">
        <v>56</v>
      </c>
      <c r="I10" s="18" t="s">
        <v>57</v>
      </c>
      <c r="J10" s="18" t="s">
        <v>9</v>
      </c>
      <c r="K10" s="18">
        <f>COUNTIFS(Tabela2[NOME FUNCIONÁRIO],Tabela2[[#This Row],[NOME FUNCIONÁRIO]],Tabela2[TIPO],$J$4)</f>
        <v>2</v>
      </c>
      <c r="L10" s="19"/>
      <c r="M10" s="19"/>
      <c r="N10" s="19"/>
      <c r="O10" s="19">
        <v>140</v>
      </c>
      <c r="P10" s="20">
        <v>140</v>
      </c>
      <c r="Q10" s="20">
        <v>140</v>
      </c>
      <c r="R10" s="20">
        <v>140</v>
      </c>
      <c r="S10" s="19">
        <v>140</v>
      </c>
      <c r="T10" s="19">
        <v>140</v>
      </c>
      <c r="U10" s="19">
        <v>140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21"/>
    </row>
    <row r="11" spans="1:42" s="9" customFormat="1" ht="27" customHeight="1" x14ac:dyDescent="0.35">
      <c r="B11" s="17" t="s">
        <v>53</v>
      </c>
      <c r="C11" s="18">
        <v>26917</v>
      </c>
      <c r="D11" s="18" t="s">
        <v>54</v>
      </c>
      <c r="E11" s="18" t="s">
        <v>54</v>
      </c>
      <c r="F11" s="18" t="s">
        <v>55</v>
      </c>
      <c r="G11" s="18">
        <v>0</v>
      </c>
      <c r="H11" s="18" t="s">
        <v>56</v>
      </c>
      <c r="I11" s="18" t="s">
        <v>57</v>
      </c>
      <c r="J11" s="18" t="s">
        <v>12</v>
      </c>
      <c r="K11" s="18">
        <f>COUNTIFS(Tabela2[NOME FUNCIONÁRIO],Tabela2[[#This Row],[NOME FUNCIONÁRIO]],Tabela2[TIPO],$J$4)</f>
        <v>2</v>
      </c>
      <c r="L11" s="19"/>
      <c r="M11" s="19"/>
      <c r="N11" s="19"/>
      <c r="O11" s="19"/>
      <c r="P11" s="19">
        <v>27</v>
      </c>
      <c r="Q11" s="19">
        <v>27</v>
      </c>
      <c r="R11" s="19">
        <v>27</v>
      </c>
      <c r="S11" s="19">
        <v>27</v>
      </c>
      <c r="T11" s="19">
        <v>27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21"/>
    </row>
    <row r="12" spans="1:42" s="9" customFormat="1" ht="27" customHeight="1" x14ac:dyDescent="0.35">
      <c r="B12" s="17" t="s">
        <v>53</v>
      </c>
      <c r="C12" s="18">
        <v>26917</v>
      </c>
      <c r="D12" s="18" t="s">
        <v>54</v>
      </c>
      <c r="E12" s="18" t="s">
        <v>54</v>
      </c>
      <c r="F12" s="18" t="s">
        <v>55</v>
      </c>
      <c r="G12" s="18">
        <v>0</v>
      </c>
      <c r="H12" s="18" t="s">
        <v>58</v>
      </c>
      <c r="I12" s="18" t="s">
        <v>57</v>
      </c>
      <c r="J12" s="18" t="s">
        <v>9</v>
      </c>
      <c r="K12" s="18">
        <f>COUNTIFS(Tabela2[NOME FUNCIONÁRIO],Tabela2[[#This Row],[NOME FUNCIONÁRIO]],Tabela2[TIPO],$J$4)</f>
        <v>1</v>
      </c>
      <c r="L12" s="19"/>
      <c r="M12" s="19"/>
      <c r="N12" s="19"/>
      <c r="O12" s="19">
        <v>140</v>
      </c>
      <c r="P12" s="19">
        <v>140</v>
      </c>
      <c r="Q12" s="19">
        <v>140</v>
      </c>
      <c r="R12" s="19">
        <v>140</v>
      </c>
      <c r="S12" s="19">
        <v>140</v>
      </c>
      <c r="T12" s="19">
        <v>140</v>
      </c>
      <c r="U12" s="19">
        <v>140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21"/>
    </row>
    <row r="13" spans="1:42" s="9" customFormat="1" ht="27" customHeight="1" x14ac:dyDescent="0.35">
      <c r="B13" s="17" t="s">
        <v>53</v>
      </c>
      <c r="C13" s="18">
        <v>26917</v>
      </c>
      <c r="D13" s="18" t="s">
        <v>54</v>
      </c>
      <c r="E13" s="18" t="s">
        <v>54</v>
      </c>
      <c r="F13" s="18" t="s">
        <v>55</v>
      </c>
      <c r="G13" s="18">
        <v>0</v>
      </c>
      <c r="H13" s="18" t="s">
        <v>58</v>
      </c>
      <c r="I13" s="18" t="s">
        <v>57</v>
      </c>
      <c r="J13" s="18" t="s">
        <v>12</v>
      </c>
      <c r="K13" s="18">
        <f>COUNTIFS(Tabela2[NOME FUNCIONÁRIO],Tabela2[[#This Row],[NOME FUNCIONÁRIO]],Tabela2[TIPO],$J$4)</f>
        <v>1</v>
      </c>
      <c r="L13" s="19"/>
      <c r="M13" s="19"/>
      <c r="N13" s="19"/>
      <c r="O13" s="19">
        <v>27</v>
      </c>
      <c r="P13" s="19">
        <v>27</v>
      </c>
      <c r="Q13" s="19">
        <v>27</v>
      </c>
      <c r="R13" s="19">
        <v>27</v>
      </c>
      <c r="S13" s="19">
        <v>27</v>
      </c>
      <c r="T13" s="19">
        <v>27</v>
      </c>
      <c r="U13" s="19">
        <v>27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21"/>
    </row>
    <row r="14" spans="1:42" s="9" customFormat="1" ht="27" customHeight="1" x14ac:dyDescent="0.35">
      <c r="B14" s="17" t="s">
        <v>45</v>
      </c>
      <c r="C14" s="18">
        <v>8768</v>
      </c>
      <c r="D14" s="18" t="s">
        <v>46</v>
      </c>
      <c r="E14" s="18" t="s">
        <v>46</v>
      </c>
      <c r="F14" s="18" t="s">
        <v>47</v>
      </c>
      <c r="G14" s="18">
        <v>0</v>
      </c>
      <c r="H14" s="18" t="s">
        <v>48</v>
      </c>
      <c r="I14" s="18" t="s">
        <v>52</v>
      </c>
      <c r="J14" s="18" t="s">
        <v>12</v>
      </c>
      <c r="K14" s="18">
        <f>COUNTIFS(Tabela2[NOME FUNCIONÁRIO],Tabela2[[#This Row],[NOME FUNCIONÁRIO]],Tabela2[TIPO],$J$4)</f>
        <v>0</v>
      </c>
      <c r="L14" s="19">
        <v>7</v>
      </c>
      <c r="M14" s="19"/>
      <c r="N14" s="19"/>
      <c r="O14" s="19">
        <v>21</v>
      </c>
      <c r="P14" s="19">
        <v>21</v>
      </c>
      <c r="Q14" s="19">
        <v>14</v>
      </c>
      <c r="R14" s="19">
        <v>14</v>
      </c>
      <c r="S14" s="19"/>
      <c r="T14" s="19"/>
      <c r="U14" s="19"/>
      <c r="V14" s="19">
        <v>21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21"/>
    </row>
    <row r="15" spans="1:42" s="9" customFormat="1" ht="27" customHeight="1" x14ac:dyDescent="0.35">
      <c r="B15" s="17" t="s">
        <v>45</v>
      </c>
      <c r="C15" s="18">
        <v>8768</v>
      </c>
      <c r="D15" s="18" t="s">
        <v>46</v>
      </c>
      <c r="E15" s="18" t="s">
        <v>46</v>
      </c>
      <c r="F15" s="18" t="s">
        <v>47</v>
      </c>
      <c r="G15" s="18">
        <v>0</v>
      </c>
      <c r="H15" s="18" t="s">
        <v>49</v>
      </c>
      <c r="I15" s="18" t="s">
        <v>52</v>
      </c>
      <c r="J15" s="18" t="s">
        <v>12</v>
      </c>
      <c r="K15" s="18">
        <f>COUNTIFS(Tabela2[NOME FUNCIONÁRIO],Tabela2[[#This Row],[NOME FUNCIONÁRIO]],Tabela2[TIPO],$J$4)</f>
        <v>0</v>
      </c>
      <c r="L15" s="19"/>
      <c r="M15" s="19"/>
      <c r="N15" s="19"/>
      <c r="O15" s="19">
        <v>21</v>
      </c>
      <c r="P15" s="19">
        <v>14</v>
      </c>
      <c r="Q15" s="19">
        <v>14</v>
      </c>
      <c r="R15" s="19">
        <v>14</v>
      </c>
      <c r="S15" s="19"/>
      <c r="T15" s="19"/>
      <c r="U15" s="19"/>
      <c r="V15" s="19">
        <v>21</v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21"/>
    </row>
    <row r="16" spans="1:42" s="9" customFormat="1" ht="27" customHeight="1" x14ac:dyDescent="0.35">
      <c r="B16" s="17" t="s">
        <v>45</v>
      </c>
      <c r="C16" s="18">
        <v>8768</v>
      </c>
      <c r="D16" s="18" t="s">
        <v>46</v>
      </c>
      <c r="E16" s="18" t="s">
        <v>46</v>
      </c>
      <c r="F16" s="18" t="s">
        <v>47</v>
      </c>
      <c r="G16" s="18">
        <v>0</v>
      </c>
      <c r="H16" s="18" t="s">
        <v>50</v>
      </c>
      <c r="I16" s="18" t="s">
        <v>52</v>
      </c>
      <c r="J16" s="18" t="s">
        <v>12</v>
      </c>
      <c r="K16" s="18">
        <f>COUNTIFS(Tabela2[NOME FUNCIONÁRIO],Tabela2[[#This Row],[NOME FUNCIONÁRIO]],Tabela2[TIPO],$J$4)</f>
        <v>2</v>
      </c>
      <c r="L16" s="19">
        <v>14</v>
      </c>
      <c r="M16" s="19"/>
      <c r="N16" s="19"/>
      <c r="O16" s="19"/>
      <c r="P16" s="19"/>
      <c r="Q16" s="19"/>
      <c r="R16" s="19"/>
      <c r="S16" s="19"/>
      <c r="T16" s="19"/>
      <c r="U16" s="19"/>
      <c r="V16" s="19">
        <v>21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21"/>
    </row>
    <row r="17" spans="2:42" s="9" customFormat="1" ht="27" customHeight="1" x14ac:dyDescent="0.35">
      <c r="B17" s="17" t="s">
        <v>45</v>
      </c>
      <c r="C17" s="18">
        <v>8768</v>
      </c>
      <c r="D17" s="18" t="s">
        <v>46</v>
      </c>
      <c r="E17" s="18" t="s">
        <v>46</v>
      </c>
      <c r="F17" s="18" t="s">
        <v>47</v>
      </c>
      <c r="G17" s="18">
        <v>0</v>
      </c>
      <c r="H17" s="18" t="s">
        <v>51</v>
      </c>
      <c r="I17" s="18" t="s">
        <v>52</v>
      </c>
      <c r="J17" s="18" t="s">
        <v>12</v>
      </c>
      <c r="K17" s="18">
        <f>COUNTIFS(Tabela2[NOME FUNCIONÁRIO],Tabela2[[#This Row],[NOME FUNCIONÁRIO]],Tabela2[TIPO],$J$4)</f>
        <v>0</v>
      </c>
      <c r="L17" s="19">
        <v>14</v>
      </c>
      <c r="M17" s="19"/>
      <c r="N17" s="19"/>
      <c r="O17" s="19">
        <v>21</v>
      </c>
      <c r="P17" s="19">
        <v>14</v>
      </c>
      <c r="Q17" s="19">
        <v>14</v>
      </c>
      <c r="R17" s="19">
        <v>14</v>
      </c>
      <c r="S17" s="19"/>
      <c r="T17" s="19"/>
      <c r="U17" s="19"/>
      <c r="V17" s="19">
        <v>21</v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21"/>
    </row>
    <row r="18" spans="2:42" s="9" customFormat="1" ht="27" customHeight="1" x14ac:dyDescent="0.35">
      <c r="B18" s="17" t="s">
        <v>60</v>
      </c>
      <c r="C18" s="18">
        <v>0</v>
      </c>
      <c r="D18" s="18" t="s">
        <v>62</v>
      </c>
      <c r="E18" s="18" t="s">
        <v>62</v>
      </c>
      <c r="F18" s="18" t="s">
        <v>61</v>
      </c>
      <c r="G18" s="18">
        <v>0</v>
      </c>
      <c r="H18" s="18" t="s">
        <v>50</v>
      </c>
      <c r="I18" s="18" t="s">
        <v>52</v>
      </c>
      <c r="J18" s="18" t="s">
        <v>9</v>
      </c>
      <c r="K18" s="18">
        <f>COUNTIFS(Tabela2[NOME FUNCIONÁRIO],Tabela2[[#This Row],[NOME FUNCIONÁRIO]],Tabela2[TIPO],$J$4)</f>
        <v>2</v>
      </c>
      <c r="L18" s="19"/>
      <c r="M18" s="19"/>
      <c r="N18" s="19"/>
      <c r="O18" s="20">
        <v>200</v>
      </c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21"/>
    </row>
    <row r="19" spans="2:42" s="9" customFormat="1" ht="27" customHeight="1" x14ac:dyDescent="0.35">
      <c r="B19" s="17" t="s">
        <v>60</v>
      </c>
      <c r="C19" s="18">
        <v>0</v>
      </c>
      <c r="D19" s="18" t="s">
        <v>62</v>
      </c>
      <c r="E19" s="18" t="s">
        <v>62</v>
      </c>
      <c r="F19" s="18" t="s">
        <v>61</v>
      </c>
      <c r="G19" s="18">
        <v>0</v>
      </c>
      <c r="H19" s="18" t="s">
        <v>56</v>
      </c>
      <c r="I19" s="18" t="s">
        <v>57</v>
      </c>
      <c r="J19" s="18" t="s">
        <v>9</v>
      </c>
      <c r="K19" s="18">
        <f>COUNTIFS(Tabela2[NOME FUNCIONÁRIO],Tabela2[[#This Row],[NOME FUNCIONÁRIO]],Tabela2[TIPO],$J$4)</f>
        <v>2</v>
      </c>
      <c r="L19" s="19"/>
      <c r="M19" s="19"/>
      <c r="N19" s="19"/>
      <c r="O19" s="19"/>
      <c r="P19" s="20">
        <v>135</v>
      </c>
      <c r="Q19" s="20">
        <v>135</v>
      </c>
      <c r="R19" s="20">
        <v>135</v>
      </c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21"/>
    </row>
    <row r="20" spans="2:42" s="9" customFormat="1" ht="27" customHeight="1" x14ac:dyDescent="0.35">
      <c r="B20" s="17" t="s">
        <v>60</v>
      </c>
      <c r="C20" s="18">
        <v>0</v>
      </c>
      <c r="D20" s="18" t="s">
        <v>62</v>
      </c>
      <c r="E20" s="18" t="s">
        <v>62</v>
      </c>
      <c r="F20" s="18" t="s">
        <v>61</v>
      </c>
      <c r="G20" s="18">
        <v>0</v>
      </c>
      <c r="H20" s="18" t="s">
        <v>65</v>
      </c>
      <c r="I20" s="18" t="s">
        <v>64</v>
      </c>
      <c r="J20" s="18" t="s">
        <v>9</v>
      </c>
      <c r="K20" s="18">
        <f>COUNTIFS(Tabela2[NOME FUNCIONÁRIO],Tabela2[[#This Row],[NOME FUNCIONÁRIO]],Tabela2[TIPO],$J$4)</f>
        <v>1</v>
      </c>
      <c r="L20" s="19">
        <v>225</v>
      </c>
      <c r="M20" s="19">
        <v>225</v>
      </c>
      <c r="N20" s="19">
        <v>225</v>
      </c>
      <c r="O20" s="19">
        <v>225</v>
      </c>
      <c r="P20" s="19">
        <v>225</v>
      </c>
      <c r="Q20" s="19">
        <v>225</v>
      </c>
      <c r="R20" s="19">
        <v>225</v>
      </c>
      <c r="S20" s="19">
        <v>225</v>
      </c>
      <c r="T20" s="19">
        <v>225</v>
      </c>
      <c r="U20" s="19">
        <v>225</v>
      </c>
      <c r="V20" s="19">
        <v>225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21"/>
    </row>
    <row r="21" spans="2:42" s="9" customFormat="1" ht="27" customHeight="1" x14ac:dyDescent="0.35">
      <c r="B21" s="17" t="s">
        <v>60</v>
      </c>
      <c r="C21" s="18">
        <v>0</v>
      </c>
      <c r="D21" s="18" t="s">
        <v>62</v>
      </c>
      <c r="E21" s="18" t="s">
        <v>62</v>
      </c>
      <c r="F21" s="18" t="s">
        <v>61</v>
      </c>
      <c r="G21" s="18">
        <v>0</v>
      </c>
      <c r="H21" s="18" t="s">
        <v>65</v>
      </c>
      <c r="I21" s="18" t="s">
        <v>64</v>
      </c>
      <c r="J21" s="18" t="s">
        <v>12</v>
      </c>
      <c r="K21" s="18">
        <f>COUNTIFS(Tabela2[NOME FUNCIONÁRIO],Tabela2[[#This Row],[NOME FUNCIONÁRIO]],Tabela2[TIPO],$J$4)</f>
        <v>1</v>
      </c>
      <c r="L21" s="19"/>
      <c r="M21" s="19">
        <v>112</v>
      </c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21"/>
    </row>
    <row r="22" spans="2:42" s="9" customFormat="1" ht="27" customHeight="1" x14ac:dyDescent="0.35">
      <c r="B22" s="17" t="s">
        <v>60</v>
      </c>
      <c r="C22" s="18">
        <v>0</v>
      </c>
      <c r="D22" s="18" t="s">
        <v>62</v>
      </c>
      <c r="E22" s="18" t="s">
        <v>62</v>
      </c>
      <c r="F22" s="18" t="s">
        <v>61</v>
      </c>
      <c r="G22" s="18">
        <v>0</v>
      </c>
      <c r="H22" s="18" t="s">
        <v>65</v>
      </c>
      <c r="I22" s="18" t="s">
        <v>64</v>
      </c>
      <c r="J22" s="18" t="s">
        <v>11</v>
      </c>
      <c r="K22" s="18">
        <f>COUNTIFS(Tabela2[NOME FUNCIONÁRIO],Tabela2[[#This Row],[NOME FUNCIONÁRIO]],Tabela2[TIPO],$J$4)</f>
        <v>1</v>
      </c>
      <c r="L22" s="19"/>
      <c r="M22" s="19"/>
      <c r="N22" s="19"/>
      <c r="O22" s="19">
        <v>8</v>
      </c>
      <c r="P22" s="19">
        <v>8</v>
      </c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21"/>
    </row>
    <row r="23" spans="2:42" s="9" customFormat="1" ht="27" customHeight="1" x14ac:dyDescent="0.35">
      <c r="B23" s="17" t="s">
        <v>60</v>
      </c>
      <c r="C23" s="18">
        <v>0</v>
      </c>
      <c r="D23" s="18" t="s">
        <v>62</v>
      </c>
      <c r="E23" s="18" t="s">
        <v>62</v>
      </c>
      <c r="F23" s="18" t="s">
        <v>61</v>
      </c>
      <c r="G23" s="18">
        <v>0</v>
      </c>
      <c r="H23" s="18" t="s">
        <v>66</v>
      </c>
      <c r="I23" s="18" t="s">
        <v>64</v>
      </c>
      <c r="J23" s="18" t="s">
        <v>9</v>
      </c>
      <c r="K23" s="18">
        <f>COUNTIFS(Tabela2[NOME FUNCIONÁRIO],Tabela2[[#This Row],[NOME FUNCIONÁRIO]],Tabela2[TIPO],$J$4)</f>
        <v>1</v>
      </c>
      <c r="L23" s="19">
        <v>225</v>
      </c>
      <c r="M23" s="19">
        <v>225</v>
      </c>
      <c r="N23" s="19">
        <v>225</v>
      </c>
      <c r="O23" s="19">
        <v>225</v>
      </c>
      <c r="P23" s="19">
        <v>225</v>
      </c>
      <c r="Q23" s="19">
        <v>225</v>
      </c>
      <c r="R23" s="19">
        <v>225</v>
      </c>
      <c r="S23" s="19">
        <v>225</v>
      </c>
      <c r="T23" s="19">
        <v>225</v>
      </c>
      <c r="U23" s="19">
        <v>225</v>
      </c>
      <c r="V23" s="19">
        <v>225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21"/>
    </row>
    <row r="24" spans="2:42" s="9" customFormat="1" ht="27" customHeight="1" x14ac:dyDescent="0.35">
      <c r="B24" s="17" t="s">
        <v>60</v>
      </c>
      <c r="C24" s="18">
        <v>0</v>
      </c>
      <c r="D24" s="18" t="s">
        <v>62</v>
      </c>
      <c r="E24" s="18" t="s">
        <v>62</v>
      </c>
      <c r="F24" s="18" t="s">
        <v>61</v>
      </c>
      <c r="G24" s="18">
        <v>0</v>
      </c>
      <c r="H24" s="18" t="s">
        <v>66</v>
      </c>
      <c r="I24" s="18" t="s">
        <v>64</v>
      </c>
      <c r="J24" s="18" t="s">
        <v>12</v>
      </c>
      <c r="K24" s="18">
        <f>COUNTIFS(Tabela2[NOME FUNCIONÁRIO],Tabela2[[#This Row],[NOME FUNCIONÁRIO]],Tabela2[TIPO],$J$4)</f>
        <v>1</v>
      </c>
      <c r="L24" s="19"/>
      <c r="M24" s="19">
        <v>160</v>
      </c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21"/>
    </row>
    <row r="25" spans="2:42" s="9" customFormat="1" ht="27" customHeight="1" x14ac:dyDescent="0.35">
      <c r="B25" s="17" t="s">
        <v>60</v>
      </c>
      <c r="C25" s="18">
        <v>0</v>
      </c>
      <c r="D25" s="18" t="s">
        <v>62</v>
      </c>
      <c r="E25" s="18" t="s">
        <v>62</v>
      </c>
      <c r="F25" s="18" t="s">
        <v>61</v>
      </c>
      <c r="G25" s="18">
        <v>0</v>
      </c>
      <c r="H25" s="18" t="s">
        <v>66</v>
      </c>
      <c r="I25" s="18" t="s">
        <v>64</v>
      </c>
      <c r="J25" s="18" t="s">
        <v>11</v>
      </c>
      <c r="K25" s="18">
        <f>COUNTIFS(Tabela2[NOME FUNCIONÁRIO],Tabela2[[#This Row],[NOME FUNCIONÁRIO]],Tabela2[TIPO],$J$4)</f>
        <v>1</v>
      </c>
      <c r="L25" s="19">
        <v>8</v>
      </c>
      <c r="M25" s="19"/>
      <c r="N25" s="19"/>
      <c r="O25" s="19"/>
      <c r="P25" s="19">
        <v>4</v>
      </c>
      <c r="Q25" s="19"/>
      <c r="R25" s="19"/>
      <c r="S25" s="19"/>
      <c r="T25" s="19"/>
      <c r="U25" s="19">
        <v>8</v>
      </c>
      <c r="V25" s="19">
        <v>8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21"/>
    </row>
    <row r="26" spans="2:42" s="9" customFormat="1" ht="27" customHeight="1" x14ac:dyDescent="0.35">
      <c r="B26" s="17" t="s">
        <v>60</v>
      </c>
      <c r="C26" s="18">
        <v>0</v>
      </c>
      <c r="D26" s="18" t="s">
        <v>63</v>
      </c>
      <c r="E26" s="18" t="s">
        <v>63</v>
      </c>
      <c r="F26" s="18" t="s">
        <v>61</v>
      </c>
      <c r="G26" s="18">
        <v>0</v>
      </c>
      <c r="H26" s="18" t="s">
        <v>67</v>
      </c>
      <c r="I26" s="18" t="s">
        <v>68</v>
      </c>
      <c r="J26" s="18" t="s">
        <v>9</v>
      </c>
      <c r="K26" s="18">
        <f>COUNTIFS(Tabela2[NOME FUNCIONÁRIO],Tabela2[[#This Row],[NOME FUNCIONÁRIO]],Tabela2[TIPO],$J$4)</f>
        <v>1</v>
      </c>
      <c r="L26" s="19">
        <v>210</v>
      </c>
      <c r="M26" s="19">
        <v>210</v>
      </c>
      <c r="N26" s="19">
        <v>210</v>
      </c>
      <c r="O26" s="19">
        <v>210</v>
      </c>
      <c r="P26" s="19">
        <v>210</v>
      </c>
      <c r="Q26" s="19">
        <v>210</v>
      </c>
      <c r="R26" s="19">
        <v>210</v>
      </c>
      <c r="S26" s="19">
        <v>210</v>
      </c>
      <c r="T26" s="19">
        <v>210</v>
      </c>
      <c r="U26" s="19">
        <v>210</v>
      </c>
      <c r="V26" s="19">
        <v>210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21"/>
    </row>
    <row r="27" spans="2:42" s="9" customFormat="1" ht="27" customHeight="1" x14ac:dyDescent="0.35">
      <c r="B27" s="17" t="s">
        <v>60</v>
      </c>
      <c r="C27" s="18">
        <v>0</v>
      </c>
      <c r="D27" s="18" t="s">
        <v>63</v>
      </c>
      <c r="E27" s="18" t="s">
        <v>63</v>
      </c>
      <c r="F27" s="18" t="s">
        <v>61</v>
      </c>
      <c r="G27" s="18">
        <v>0</v>
      </c>
      <c r="H27" s="18" t="s">
        <v>67</v>
      </c>
      <c r="I27" s="18" t="s">
        <v>68</v>
      </c>
      <c r="J27" s="18" t="s">
        <v>12</v>
      </c>
      <c r="K27" s="18">
        <f>COUNTIFS(Tabela2[NOME FUNCIONÁRIO],Tabela2[[#This Row],[NOME FUNCIONÁRIO]],Tabela2[TIPO],$J$4)</f>
        <v>1</v>
      </c>
      <c r="L27" s="19">
        <v>51</v>
      </c>
      <c r="M27" s="19">
        <v>51</v>
      </c>
      <c r="N27" s="19">
        <v>51</v>
      </c>
      <c r="O27" s="19">
        <v>51</v>
      </c>
      <c r="P27" s="19"/>
      <c r="Q27" s="19">
        <v>85</v>
      </c>
      <c r="R27" s="19"/>
      <c r="S27" s="19"/>
      <c r="T27" s="19">
        <v>136</v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21"/>
    </row>
    <row r="28" spans="2:42" s="9" customFormat="1" ht="27" customHeight="1" x14ac:dyDescent="0.35">
      <c r="B28" s="17" t="s">
        <v>60</v>
      </c>
      <c r="C28" s="18">
        <v>0</v>
      </c>
      <c r="D28" s="18" t="s">
        <v>63</v>
      </c>
      <c r="E28" s="18" t="s">
        <v>63</v>
      </c>
      <c r="F28" s="18" t="s">
        <v>61</v>
      </c>
      <c r="G28" s="18">
        <v>0</v>
      </c>
      <c r="H28" s="18" t="s">
        <v>67</v>
      </c>
      <c r="I28" s="18" t="s">
        <v>68</v>
      </c>
      <c r="J28" s="18" t="s">
        <v>11</v>
      </c>
      <c r="K28" s="18">
        <f>COUNTIFS(Tabela2[NOME FUNCIONÁRIO],Tabela2[[#This Row],[NOME FUNCIONÁRIO]],Tabela2[TIPO],$J$4)</f>
        <v>1</v>
      </c>
      <c r="L28" s="19">
        <v>12</v>
      </c>
      <c r="M28" s="19">
        <v>24</v>
      </c>
      <c r="N28" s="19">
        <v>24</v>
      </c>
      <c r="O28" s="19">
        <v>12</v>
      </c>
      <c r="P28" s="19">
        <v>12</v>
      </c>
      <c r="Q28" s="19">
        <v>12</v>
      </c>
      <c r="R28" s="19">
        <v>12</v>
      </c>
      <c r="S28" s="19">
        <v>12</v>
      </c>
      <c r="T28" s="19">
        <v>24</v>
      </c>
      <c r="U28" s="19">
        <v>24</v>
      </c>
      <c r="V28" s="19">
        <v>12</v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21"/>
    </row>
    <row r="29" spans="2:42" s="9" customFormat="1" ht="27" customHeight="1" x14ac:dyDescent="0.35">
      <c r="B29" s="17" t="s">
        <v>60</v>
      </c>
      <c r="C29" s="18">
        <v>0</v>
      </c>
      <c r="D29" s="18" t="s">
        <v>63</v>
      </c>
      <c r="E29" s="18" t="s">
        <v>63</v>
      </c>
      <c r="F29" s="18" t="s">
        <v>61</v>
      </c>
      <c r="G29" s="18">
        <v>0</v>
      </c>
      <c r="H29" s="18" t="s">
        <v>69</v>
      </c>
      <c r="I29" s="18" t="s">
        <v>70</v>
      </c>
      <c r="J29" s="18" t="s">
        <v>9</v>
      </c>
      <c r="K29" s="18">
        <f>COUNTIFS(Tabela2[NOME FUNCIONÁRIO],Tabela2[[#This Row],[NOME FUNCIONÁRIO]],Tabela2[TIPO],$J$4)</f>
        <v>1</v>
      </c>
      <c r="L29" s="19">
        <v>210</v>
      </c>
      <c r="M29" s="19">
        <v>210</v>
      </c>
      <c r="N29" s="19">
        <v>210</v>
      </c>
      <c r="O29" s="19">
        <v>210</v>
      </c>
      <c r="P29" s="19">
        <v>210</v>
      </c>
      <c r="Q29" s="19">
        <v>210</v>
      </c>
      <c r="R29" s="19">
        <v>210</v>
      </c>
      <c r="S29" s="19">
        <v>210</v>
      </c>
      <c r="T29" s="19">
        <v>210</v>
      </c>
      <c r="U29" s="19">
        <v>210</v>
      </c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21"/>
    </row>
    <row r="30" spans="2:42" s="9" customFormat="1" ht="27" customHeight="1" x14ac:dyDescent="0.35">
      <c r="B30" s="17" t="s">
        <v>60</v>
      </c>
      <c r="C30" s="18">
        <v>0</v>
      </c>
      <c r="D30" s="18" t="s">
        <v>63</v>
      </c>
      <c r="E30" s="18" t="s">
        <v>63</v>
      </c>
      <c r="F30" s="18" t="s">
        <v>61</v>
      </c>
      <c r="G30" s="18">
        <v>0</v>
      </c>
      <c r="H30" s="18" t="s">
        <v>69</v>
      </c>
      <c r="I30" s="18" t="s">
        <v>70</v>
      </c>
      <c r="J30" s="18" t="s">
        <v>12</v>
      </c>
      <c r="K30" s="18">
        <f>COUNTIFS(Tabela2[NOME FUNCIONÁRIO],Tabela2[[#This Row],[NOME FUNCIONÁRIO]],Tabela2[TIPO],$J$4)</f>
        <v>1</v>
      </c>
      <c r="L30" s="19">
        <v>34</v>
      </c>
      <c r="M30" s="19">
        <v>34</v>
      </c>
      <c r="N30" s="19">
        <v>51</v>
      </c>
      <c r="O30" s="19">
        <v>51</v>
      </c>
      <c r="P30" s="19">
        <v>34</v>
      </c>
      <c r="Q30" s="19">
        <v>34</v>
      </c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21"/>
    </row>
    <row r="31" spans="2:42" s="9" customFormat="1" ht="27" customHeight="1" x14ac:dyDescent="0.35">
      <c r="B31" s="17" t="s">
        <v>60</v>
      </c>
      <c r="C31" s="18">
        <v>0</v>
      </c>
      <c r="D31" s="18" t="s">
        <v>63</v>
      </c>
      <c r="E31" s="18" t="s">
        <v>63</v>
      </c>
      <c r="F31" s="18" t="s">
        <v>61</v>
      </c>
      <c r="G31" s="18">
        <v>0</v>
      </c>
      <c r="H31" s="18" t="s">
        <v>69</v>
      </c>
      <c r="I31" s="18" t="s">
        <v>70</v>
      </c>
      <c r="J31" s="18" t="s">
        <v>11</v>
      </c>
      <c r="K31" s="18">
        <f>COUNTIFS(Tabela2[NOME FUNCIONÁRIO],Tabela2[[#This Row],[NOME FUNCIONÁRIO]],Tabela2[TIPO],$J$4)</f>
        <v>1</v>
      </c>
      <c r="L31" s="19">
        <v>12</v>
      </c>
      <c r="M31" s="19">
        <v>24</v>
      </c>
      <c r="N31" s="19">
        <v>24</v>
      </c>
      <c r="O31" s="19">
        <v>12</v>
      </c>
      <c r="P31" s="19">
        <v>12</v>
      </c>
      <c r="Q31" s="19">
        <v>12</v>
      </c>
      <c r="R31" s="19">
        <v>12</v>
      </c>
      <c r="S31" s="19">
        <v>12</v>
      </c>
      <c r="T31" s="19">
        <v>24</v>
      </c>
      <c r="U31" s="19">
        <v>24</v>
      </c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21"/>
    </row>
    <row r="32" spans="2:42" s="9" customFormat="1" ht="27" customHeight="1" x14ac:dyDescent="0.35">
      <c r="B32" s="17" t="s">
        <v>60</v>
      </c>
      <c r="C32" s="18">
        <v>0</v>
      </c>
      <c r="D32" s="18" t="s">
        <v>63</v>
      </c>
      <c r="E32" s="18" t="s">
        <v>63</v>
      </c>
      <c r="F32" s="18" t="s">
        <v>61</v>
      </c>
      <c r="G32" s="18">
        <v>0</v>
      </c>
      <c r="H32" s="18" t="s">
        <v>71</v>
      </c>
      <c r="I32" s="18" t="s">
        <v>72</v>
      </c>
      <c r="J32" s="18" t="s">
        <v>9</v>
      </c>
      <c r="K32" s="18">
        <f>COUNTIFS(Tabela2[NOME FUNCIONÁRIO],Tabela2[[#This Row],[NOME FUNCIONÁRIO]],Tabela2[TIPO],$J$4)</f>
        <v>1</v>
      </c>
      <c r="L32" s="19">
        <v>130</v>
      </c>
      <c r="M32" s="19">
        <v>130</v>
      </c>
      <c r="N32" s="19">
        <v>130</v>
      </c>
      <c r="O32" s="19">
        <v>130</v>
      </c>
      <c r="P32" s="19">
        <v>130</v>
      </c>
      <c r="Q32" s="19">
        <v>130</v>
      </c>
      <c r="R32" s="19">
        <v>130</v>
      </c>
      <c r="S32" s="19">
        <v>130</v>
      </c>
      <c r="T32" s="19">
        <v>130</v>
      </c>
      <c r="U32" s="19">
        <v>130</v>
      </c>
      <c r="V32" s="19">
        <v>130</v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21"/>
    </row>
    <row r="33" spans="2:42" s="9" customFormat="1" ht="27" customHeight="1" x14ac:dyDescent="0.35">
      <c r="B33" s="17" t="s">
        <v>60</v>
      </c>
      <c r="C33" s="18">
        <v>0</v>
      </c>
      <c r="D33" s="18" t="s">
        <v>63</v>
      </c>
      <c r="E33" s="18" t="s">
        <v>63</v>
      </c>
      <c r="F33" s="18" t="s">
        <v>61</v>
      </c>
      <c r="G33" s="18">
        <v>0</v>
      </c>
      <c r="H33" s="18" t="s">
        <v>71</v>
      </c>
      <c r="I33" s="18" t="s">
        <v>72</v>
      </c>
      <c r="J33" s="18" t="s">
        <v>12</v>
      </c>
      <c r="K33" s="18">
        <f>COUNTIFS(Tabela2[NOME FUNCIONÁRIO],Tabela2[[#This Row],[NOME FUNCIONÁRIO]],Tabela2[TIPO],$J$4)</f>
        <v>1</v>
      </c>
      <c r="L33" s="19">
        <v>51</v>
      </c>
      <c r="M33" s="19">
        <v>51</v>
      </c>
      <c r="N33" s="19">
        <v>51</v>
      </c>
      <c r="O33" s="19">
        <v>51</v>
      </c>
      <c r="P33" s="19">
        <v>51</v>
      </c>
      <c r="Q33" s="19">
        <v>51</v>
      </c>
      <c r="R33" s="19">
        <v>51</v>
      </c>
      <c r="S33" s="19">
        <v>51</v>
      </c>
      <c r="T33" s="19">
        <v>51</v>
      </c>
      <c r="U33" s="19">
        <v>51</v>
      </c>
      <c r="V33" s="19">
        <v>51</v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21"/>
    </row>
    <row r="34" spans="2:42" s="9" customFormat="1" ht="27" customHeight="1" x14ac:dyDescent="0.35">
      <c r="B34" s="17" t="s">
        <v>60</v>
      </c>
      <c r="C34" s="18">
        <v>0</v>
      </c>
      <c r="D34" s="18" t="s">
        <v>63</v>
      </c>
      <c r="E34" s="18" t="s">
        <v>63</v>
      </c>
      <c r="F34" s="18" t="s">
        <v>61</v>
      </c>
      <c r="G34" s="18">
        <v>0</v>
      </c>
      <c r="H34" s="18" t="s">
        <v>71</v>
      </c>
      <c r="I34" s="18" t="s">
        <v>72</v>
      </c>
      <c r="J34" s="18" t="s">
        <v>11</v>
      </c>
      <c r="K34" s="18">
        <f>COUNTIFS(Tabela2[NOME FUNCIONÁRIO],Tabela2[[#This Row],[NOME FUNCIONÁRIO]],Tabela2[TIPO],$J$4)</f>
        <v>1</v>
      </c>
      <c r="L34" s="19">
        <v>12</v>
      </c>
      <c r="M34" s="19">
        <v>24</v>
      </c>
      <c r="N34" s="19">
        <v>24</v>
      </c>
      <c r="O34" s="19">
        <v>12</v>
      </c>
      <c r="P34" s="19">
        <v>12</v>
      </c>
      <c r="Q34" s="19">
        <v>12</v>
      </c>
      <c r="R34" s="19">
        <v>12</v>
      </c>
      <c r="S34" s="19">
        <v>12</v>
      </c>
      <c r="T34" s="19">
        <v>24</v>
      </c>
      <c r="U34" s="19">
        <v>24</v>
      </c>
      <c r="V34" s="19">
        <v>12</v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21"/>
    </row>
    <row r="35" spans="2:42" s="9" customFormat="1" ht="27" customHeight="1" x14ac:dyDescent="0.35">
      <c r="B35" s="17" t="s">
        <v>60</v>
      </c>
      <c r="C35" s="18">
        <v>0</v>
      </c>
      <c r="D35" s="18" t="s">
        <v>63</v>
      </c>
      <c r="E35" s="18" t="s">
        <v>63</v>
      </c>
      <c r="F35" s="18" t="s">
        <v>61</v>
      </c>
      <c r="G35" s="18">
        <v>0</v>
      </c>
      <c r="H35" s="18" t="s">
        <v>73</v>
      </c>
      <c r="I35" s="18" t="s">
        <v>72</v>
      </c>
      <c r="J35" s="18" t="s">
        <v>9</v>
      </c>
      <c r="K35" s="18">
        <f>COUNTIFS(Tabela2[NOME FUNCIONÁRIO],Tabela2[[#This Row],[NOME FUNCIONÁRIO]],Tabela2[TIPO],$J$4)</f>
        <v>1</v>
      </c>
      <c r="L35" s="19"/>
      <c r="M35" s="19"/>
      <c r="N35" s="19"/>
      <c r="O35" s="19"/>
      <c r="P35" s="19"/>
      <c r="Q35" s="19"/>
      <c r="R35" s="19"/>
      <c r="S35" s="19"/>
      <c r="T35" s="19"/>
      <c r="U35" s="19">
        <v>210</v>
      </c>
      <c r="V35" s="19">
        <v>210</v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21"/>
    </row>
    <row r="36" spans="2:42" s="9" customFormat="1" ht="27" customHeight="1" x14ac:dyDescent="0.35">
      <c r="B36" s="22" t="s">
        <v>60</v>
      </c>
      <c r="C36" s="23">
        <v>0</v>
      </c>
      <c r="D36" s="23" t="s">
        <v>63</v>
      </c>
      <c r="E36" s="23" t="s">
        <v>63</v>
      </c>
      <c r="F36" s="23" t="s">
        <v>61</v>
      </c>
      <c r="G36" s="23">
        <v>0</v>
      </c>
      <c r="H36" s="23" t="s">
        <v>73</v>
      </c>
      <c r="I36" s="23" t="s">
        <v>72</v>
      </c>
      <c r="J36" s="23" t="s">
        <v>11</v>
      </c>
      <c r="K36" s="23">
        <f>COUNTIFS(Tabela2[NOME FUNCIONÁRIO],Tabela2[[#This Row],[NOME FUNCIONÁRIO]],Tabela2[TIPO],$J$4)</f>
        <v>1</v>
      </c>
      <c r="L36" s="24"/>
      <c r="M36" s="24"/>
      <c r="N36" s="24"/>
      <c r="O36" s="24"/>
      <c r="P36" s="24"/>
      <c r="Q36" s="24"/>
      <c r="R36" s="24"/>
      <c r="S36" s="24"/>
      <c r="T36" s="24"/>
      <c r="U36" s="24">
        <v>12</v>
      </c>
      <c r="V36" s="24">
        <v>12</v>
      </c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5"/>
    </row>
  </sheetData>
  <phoneticPr fontId="7" type="noConversion"/>
  <conditionalFormatting sqref="K2:K1048576">
    <cfRule type="cellIs" dxfId="17" priority="111" operator="greaterThan">
      <formula>1</formula>
    </cfRule>
    <cfRule type="cellIs" dxfId="16" priority="112" operator="greaterThan">
      <formula>1</formula>
    </cfRule>
  </conditionalFormatting>
  <conditionalFormatting sqref="H6:H17 H23:H26 H29 H32 H35 H20">
    <cfRule type="expression" dxfId="15" priority="119">
      <formula>#REF!&lt;TODAY()</formula>
    </cfRule>
  </conditionalFormatting>
  <conditionalFormatting sqref="H21:H22">
    <cfRule type="expression" dxfId="14" priority="7">
      <formula>#REF!&lt;TODAY()</formula>
    </cfRule>
  </conditionalFormatting>
  <conditionalFormatting sqref="H27:H28">
    <cfRule type="expression" dxfId="13" priority="6">
      <formula>#REF!&lt;TODAY()</formula>
    </cfRule>
  </conditionalFormatting>
  <conditionalFormatting sqref="H30:H31">
    <cfRule type="expression" dxfId="12" priority="5">
      <formula>#REF!&lt;TODAY()</formula>
    </cfRule>
  </conditionalFormatting>
  <conditionalFormatting sqref="H33:H34">
    <cfRule type="expression" dxfId="11" priority="4">
      <formula>#REF!&lt;TODAY()</formula>
    </cfRule>
  </conditionalFormatting>
  <conditionalFormatting sqref="H36">
    <cfRule type="expression" dxfId="10" priority="3">
      <formula>#REF!&lt;TODAY()</formula>
    </cfRule>
  </conditionalFormatting>
  <conditionalFormatting sqref="H18">
    <cfRule type="expression" dxfId="9" priority="2">
      <formula>#REF!&lt;TODAY()</formula>
    </cfRule>
  </conditionalFormatting>
  <conditionalFormatting sqref="H19">
    <cfRule type="expression" dxfId="8" priority="1">
      <formula>#REF!&lt;TODAY()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6"/>
  </sheetPr>
  <dimension ref="A1:AP22"/>
  <sheetViews>
    <sheetView showGridLines="0" zoomScale="45" zoomScaleNormal="45" workbookViewId="0">
      <selection activeCell="H10" sqref="H10"/>
    </sheetView>
  </sheetViews>
  <sheetFormatPr defaultRowHeight="15" x14ac:dyDescent="0.25"/>
  <cols>
    <col min="1" max="1" width="1" customWidth="1"/>
    <col min="2" max="2" width="9.28515625" style="5" bestFit="1" customWidth="1"/>
    <col min="3" max="3" width="12.85546875" customWidth="1"/>
    <col min="4" max="4" width="17.5703125" customWidth="1"/>
    <col min="5" max="5" width="43.42578125" customWidth="1"/>
    <col min="6" max="6" width="27.7109375" bestFit="1" customWidth="1"/>
    <col min="7" max="7" width="12.7109375" customWidth="1"/>
    <col min="8" max="8" width="41.7109375" customWidth="1"/>
    <col min="9" max="9" width="32.42578125" customWidth="1"/>
    <col min="10" max="10" width="12" bestFit="1" customWidth="1"/>
    <col min="11" max="11" width="5.5703125" customWidth="1"/>
    <col min="12" max="12" width="19.28515625" customWidth="1"/>
    <col min="13" max="13" width="18.140625" customWidth="1"/>
    <col min="14" max="14" width="11.42578125" customWidth="1"/>
    <col min="15" max="15" width="13.7109375" customWidth="1"/>
    <col min="16" max="16" width="11.42578125" customWidth="1"/>
    <col min="17" max="17" width="13.42578125" customWidth="1"/>
    <col min="18" max="42" width="11.42578125" customWidth="1"/>
  </cols>
  <sheetData>
    <row r="1" spans="1:42" ht="33.75" x14ac:dyDescent="0.5">
      <c r="A1" s="1"/>
      <c r="B1" s="2"/>
      <c r="D1" s="3"/>
      <c r="E1" s="4" t="s">
        <v>44</v>
      </c>
      <c r="G1" s="11"/>
      <c r="H1" s="11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</row>
    <row r="3" spans="1:42" ht="33.75" x14ac:dyDescent="0.25">
      <c r="H3" s="26">
        <v>45748</v>
      </c>
      <c r="I3" s="12">
        <f>SUBTOTAL(9,Tabela23[[21/3]:[20/4]])</f>
        <v>13302</v>
      </c>
      <c r="J3" t="s">
        <v>12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</row>
    <row r="4" spans="1:42" ht="39.75" customHeight="1" x14ac:dyDescent="0.25">
      <c r="J4" t="s">
        <v>9</v>
      </c>
      <c r="L4" s="8">
        <f>WEEKDAY(Tabela23[[#Headers],[21/3]],17)</f>
        <v>6</v>
      </c>
      <c r="M4" s="8">
        <f>WEEKDAY(Tabela23[[#Headers],[22/3]],17)</f>
        <v>7</v>
      </c>
      <c r="N4" s="8">
        <f>WEEKDAY(Tabela23[[#Headers],[23/3]],17)</f>
        <v>1</v>
      </c>
      <c r="O4" s="8">
        <f>WEEKDAY(Tabela23[[#Headers],[24/3]],17)</f>
        <v>2</v>
      </c>
      <c r="P4" s="8">
        <f>WEEKDAY(Tabela23[[#Headers],[25/3]],17)</f>
        <v>3</v>
      </c>
      <c r="Q4" s="8">
        <f>WEEKDAY(Tabela23[[#Headers],[26/3]],17)</f>
        <v>4</v>
      </c>
      <c r="R4" s="8">
        <f>WEEKDAY(Tabela23[[#Headers],[27/3]],17)</f>
        <v>5</v>
      </c>
      <c r="S4" s="8">
        <f>WEEKDAY(Tabela23[[#Headers],[28/3]],17)</f>
        <v>6</v>
      </c>
      <c r="T4" s="8">
        <f>WEEKDAY(Tabela23[[#Headers],[29/3]],17)</f>
        <v>7</v>
      </c>
      <c r="U4" s="8">
        <f>WEEKDAY(Tabela23[[#Headers],[30/3]],17)</f>
        <v>1</v>
      </c>
      <c r="V4" s="8">
        <f>WEEKDAY(Tabela23[[#Headers],[31/3]],17)</f>
        <v>2</v>
      </c>
      <c r="W4" s="8">
        <f>WEEKDAY(Tabela23[[#Headers],[1/4]],17)</f>
        <v>3</v>
      </c>
      <c r="X4" s="8">
        <f>WEEKDAY(Tabela23[[#Headers],[2/4]],17)</f>
        <v>4</v>
      </c>
      <c r="Y4" s="8">
        <f>WEEKDAY(Tabela23[[#Headers],[3/4]],17)</f>
        <v>5</v>
      </c>
      <c r="Z4" s="8">
        <f>WEEKDAY(Tabela23[[#Headers],[4/4]],17)</f>
        <v>6</v>
      </c>
      <c r="AA4" s="8">
        <f>WEEKDAY(Tabela23[[#Headers],[5/4]],17)</f>
        <v>7</v>
      </c>
      <c r="AB4" s="8">
        <f>WEEKDAY(Tabela23[[#Headers],[6/4]],17)</f>
        <v>1</v>
      </c>
      <c r="AC4" s="8">
        <f>WEEKDAY(Tabela23[[#Headers],[7/4]],17)</f>
        <v>2</v>
      </c>
      <c r="AD4" s="8">
        <f>WEEKDAY(Tabela23[[#Headers],[8/4]],17)</f>
        <v>3</v>
      </c>
      <c r="AE4" s="8">
        <f>WEEKDAY(Tabela23[[#Headers],[9/4]],17)</f>
        <v>4</v>
      </c>
      <c r="AF4" s="8">
        <f>WEEKDAY(Tabela23[[#Headers],[10/4]],17)</f>
        <v>5</v>
      </c>
      <c r="AG4" s="8">
        <f>WEEKDAY(Tabela23[[#Headers],[11/4]],17)</f>
        <v>6</v>
      </c>
      <c r="AH4" s="8">
        <f>WEEKDAY(Tabela23[[#Headers],[12/4]],17)</f>
        <v>7</v>
      </c>
      <c r="AI4" s="8">
        <f>WEEKDAY(Tabela23[[#Headers],[13/4]],17)</f>
        <v>1</v>
      </c>
      <c r="AJ4" s="8">
        <f>WEEKDAY(Tabela23[[#Headers],[14/4]],17)</f>
        <v>2</v>
      </c>
      <c r="AK4" s="8">
        <f>WEEKDAY(Tabela23[[#Headers],[15/4]],17)</f>
        <v>3</v>
      </c>
      <c r="AL4" s="8">
        <f>WEEKDAY(Tabela23[[#Headers],[16/4]],17)</f>
        <v>4</v>
      </c>
      <c r="AM4" s="8">
        <f>WEEKDAY(Tabela23[[#Headers],[17/4]],17)</f>
        <v>5</v>
      </c>
      <c r="AN4" s="8">
        <f>WEEKDAY(Tabela23[[#Headers],[18/4]],17)</f>
        <v>6</v>
      </c>
      <c r="AO4" s="8">
        <f>WEEKDAY(Tabela23[[#Headers],[19/4]],17)</f>
        <v>7</v>
      </c>
      <c r="AP4" s="8">
        <f>WEEKDAY(Tabela23[[#Headers],[20/4]],17)</f>
        <v>1</v>
      </c>
    </row>
    <row r="5" spans="1:42" s="6" customFormat="1" ht="141.75" customHeight="1" x14ac:dyDescent="0.25">
      <c r="B5" s="13" t="s">
        <v>0</v>
      </c>
      <c r="C5" s="14" t="s">
        <v>1</v>
      </c>
      <c r="D5" s="14" t="s">
        <v>8</v>
      </c>
      <c r="E5" s="14" t="s">
        <v>7</v>
      </c>
      <c r="F5" s="14" t="s">
        <v>5</v>
      </c>
      <c r="G5" s="14" t="s">
        <v>2</v>
      </c>
      <c r="H5" s="14" t="s">
        <v>3</v>
      </c>
      <c r="I5" s="14" t="s">
        <v>4</v>
      </c>
      <c r="J5" s="14" t="s">
        <v>6</v>
      </c>
      <c r="K5" s="14" t="s">
        <v>10</v>
      </c>
      <c r="L5" s="15" t="s">
        <v>13</v>
      </c>
      <c r="M5" s="15" t="s">
        <v>14</v>
      </c>
      <c r="N5" s="15" t="s">
        <v>15</v>
      </c>
      <c r="O5" s="15" t="s">
        <v>16</v>
      </c>
      <c r="P5" s="15" t="s">
        <v>17</v>
      </c>
      <c r="Q5" s="15" t="s">
        <v>18</v>
      </c>
      <c r="R5" s="15" t="s">
        <v>19</v>
      </c>
      <c r="S5" s="15" t="s">
        <v>20</v>
      </c>
      <c r="T5" s="15" t="s">
        <v>21</v>
      </c>
      <c r="U5" s="15" t="s">
        <v>22</v>
      </c>
      <c r="V5" s="15" t="s">
        <v>23</v>
      </c>
      <c r="W5" s="15" t="s">
        <v>24</v>
      </c>
      <c r="X5" s="15" t="s">
        <v>25</v>
      </c>
      <c r="Y5" s="15" t="s">
        <v>26</v>
      </c>
      <c r="Z5" s="15" t="s">
        <v>27</v>
      </c>
      <c r="AA5" s="15" t="s">
        <v>28</v>
      </c>
      <c r="AB5" s="15" t="s">
        <v>29</v>
      </c>
      <c r="AC5" s="15" t="s">
        <v>30</v>
      </c>
      <c r="AD5" s="15" t="s">
        <v>31</v>
      </c>
      <c r="AE5" s="15" t="s">
        <v>32</v>
      </c>
      <c r="AF5" s="15" t="s">
        <v>33</v>
      </c>
      <c r="AG5" s="15" t="s">
        <v>34</v>
      </c>
      <c r="AH5" s="15" t="s">
        <v>35</v>
      </c>
      <c r="AI5" s="15" t="s">
        <v>36</v>
      </c>
      <c r="AJ5" s="15" t="s">
        <v>37</v>
      </c>
      <c r="AK5" s="15" t="s">
        <v>38</v>
      </c>
      <c r="AL5" s="15" t="s">
        <v>39</v>
      </c>
      <c r="AM5" s="15" t="s">
        <v>40</v>
      </c>
      <c r="AN5" s="15" t="s">
        <v>41</v>
      </c>
      <c r="AO5" s="15" t="s">
        <v>42</v>
      </c>
      <c r="AP5" s="16" t="s">
        <v>43</v>
      </c>
    </row>
    <row r="6" spans="1:42" s="9" customFormat="1" ht="27" customHeight="1" x14ac:dyDescent="0.35">
      <c r="B6" s="17" t="s">
        <v>60</v>
      </c>
      <c r="C6" s="18">
        <v>0</v>
      </c>
      <c r="D6" s="18" t="s">
        <v>62</v>
      </c>
      <c r="E6" s="18" t="s">
        <v>62</v>
      </c>
      <c r="F6" s="18" t="s">
        <v>61</v>
      </c>
      <c r="G6" s="18">
        <v>0</v>
      </c>
      <c r="H6" s="18" t="s">
        <v>65</v>
      </c>
      <c r="I6" s="18" t="s">
        <v>64</v>
      </c>
      <c r="J6" s="18" t="s">
        <v>9</v>
      </c>
      <c r="K6" s="18">
        <f>COUNTIFS(Tabela23[NOME FUNCIONÁRIO],Tabela23[[#This Row],[NOME FUNCIONÁRIO]],Tabela23[TIPO],$J$4)</f>
        <v>1</v>
      </c>
      <c r="L6" s="19">
        <v>225</v>
      </c>
      <c r="M6" s="19">
        <v>225</v>
      </c>
      <c r="N6" s="19">
        <v>225</v>
      </c>
      <c r="O6" s="19">
        <v>225</v>
      </c>
      <c r="P6" s="19">
        <v>225</v>
      </c>
      <c r="Q6" s="19">
        <v>225</v>
      </c>
      <c r="R6" s="19">
        <v>225</v>
      </c>
      <c r="S6" s="19">
        <v>225</v>
      </c>
      <c r="T6" s="19">
        <v>225</v>
      </c>
      <c r="U6" s="19">
        <v>225</v>
      </c>
      <c r="V6" s="19">
        <v>225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1"/>
    </row>
    <row r="7" spans="1:42" s="9" customFormat="1" ht="27" customHeight="1" x14ac:dyDescent="0.35">
      <c r="B7" s="17" t="s">
        <v>60</v>
      </c>
      <c r="C7" s="18">
        <v>0</v>
      </c>
      <c r="D7" s="18" t="s">
        <v>62</v>
      </c>
      <c r="E7" s="18" t="s">
        <v>62</v>
      </c>
      <c r="F7" s="18" t="s">
        <v>61</v>
      </c>
      <c r="G7" s="18"/>
      <c r="H7" s="18"/>
      <c r="I7" s="18"/>
      <c r="J7" s="18" t="s">
        <v>12</v>
      </c>
      <c r="K7" s="18">
        <f>COUNTIFS(Tabela23[NOME FUNCIONÁRIO],Tabela23[[#This Row],[NOME FUNCIONÁRIO]],Tabela23[TIPO],$J$4)</f>
        <v>0</v>
      </c>
      <c r="L7" s="19"/>
      <c r="M7" s="19">
        <v>112</v>
      </c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21"/>
    </row>
    <row r="8" spans="1:42" s="9" customFormat="1" ht="27" customHeight="1" x14ac:dyDescent="0.35">
      <c r="B8" s="17" t="s">
        <v>60</v>
      </c>
      <c r="C8" s="18">
        <v>0</v>
      </c>
      <c r="D8" s="18" t="s">
        <v>62</v>
      </c>
      <c r="E8" s="18" t="s">
        <v>62</v>
      </c>
      <c r="F8" s="18" t="s">
        <v>61</v>
      </c>
      <c r="G8" s="18"/>
      <c r="H8" s="18"/>
      <c r="I8" s="18"/>
      <c r="J8" s="18" t="s">
        <v>11</v>
      </c>
      <c r="K8" s="18">
        <f>COUNTIFS(Tabela23[NOME FUNCIONÁRIO],Tabela23[[#This Row],[NOME FUNCIONÁRIO]],Tabela23[TIPO],$J$4)</f>
        <v>0</v>
      </c>
      <c r="L8" s="19"/>
      <c r="M8" s="19"/>
      <c r="N8" s="19"/>
      <c r="O8" s="19">
        <v>8</v>
      </c>
      <c r="P8" s="19">
        <v>8</v>
      </c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21"/>
    </row>
    <row r="9" spans="1:42" s="9" customFormat="1" ht="27" customHeight="1" x14ac:dyDescent="0.35">
      <c r="B9" s="17" t="s">
        <v>60</v>
      </c>
      <c r="C9" s="18">
        <v>0</v>
      </c>
      <c r="D9" s="18" t="s">
        <v>62</v>
      </c>
      <c r="E9" s="18" t="s">
        <v>62</v>
      </c>
      <c r="F9" s="18" t="s">
        <v>61</v>
      </c>
      <c r="G9" s="18">
        <v>0</v>
      </c>
      <c r="H9" s="18" t="s">
        <v>66</v>
      </c>
      <c r="I9" s="18" t="s">
        <v>64</v>
      </c>
      <c r="J9" s="18" t="s">
        <v>9</v>
      </c>
      <c r="K9" s="18">
        <f>COUNTIFS(Tabela23[NOME FUNCIONÁRIO],Tabela23[[#This Row],[NOME FUNCIONÁRIO]],Tabela23[TIPO],$J$4)</f>
        <v>1</v>
      </c>
      <c r="L9" s="19">
        <v>225</v>
      </c>
      <c r="M9" s="19">
        <v>225</v>
      </c>
      <c r="N9" s="19">
        <v>225</v>
      </c>
      <c r="O9" s="19">
        <v>225</v>
      </c>
      <c r="P9" s="19">
        <v>225</v>
      </c>
      <c r="Q9" s="19">
        <v>225</v>
      </c>
      <c r="R9" s="19">
        <v>225</v>
      </c>
      <c r="S9" s="19">
        <v>225</v>
      </c>
      <c r="T9" s="19">
        <v>225</v>
      </c>
      <c r="U9" s="19">
        <v>225</v>
      </c>
      <c r="V9" s="19">
        <v>225</v>
      </c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21"/>
    </row>
    <row r="10" spans="1:42" s="9" customFormat="1" ht="27" customHeight="1" x14ac:dyDescent="0.35">
      <c r="B10" s="17" t="s">
        <v>60</v>
      </c>
      <c r="C10" s="18">
        <v>0</v>
      </c>
      <c r="D10" s="18" t="s">
        <v>62</v>
      </c>
      <c r="E10" s="18" t="s">
        <v>62</v>
      </c>
      <c r="F10" s="18" t="s">
        <v>61</v>
      </c>
      <c r="G10" s="18"/>
      <c r="H10" s="18"/>
      <c r="I10" s="18"/>
      <c r="J10" s="18" t="s">
        <v>12</v>
      </c>
      <c r="K10" s="18">
        <f>COUNTIFS(Tabela23[NOME FUNCIONÁRIO],Tabela23[[#This Row],[NOME FUNCIONÁRIO]],Tabela23[TIPO],$J$4)</f>
        <v>0</v>
      </c>
      <c r="L10" s="19"/>
      <c r="M10" s="19">
        <v>160</v>
      </c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21"/>
    </row>
    <row r="11" spans="1:42" s="9" customFormat="1" ht="27" customHeight="1" x14ac:dyDescent="0.35">
      <c r="B11" s="17" t="s">
        <v>60</v>
      </c>
      <c r="C11" s="18">
        <v>0</v>
      </c>
      <c r="D11" s="18" t="s">
        <v>62</v>
      </c>
      <c r="E11" s="18" t="s">
        <v>62</v>
      </c>
      <c r="F11" s="18" t="s">
        <v>61</v>
      </c>
      <c r="G11" s="18"/>
      <c r="H11" s="18"/>
      <c r="I11" s="18"/>
      <c r="J11" s="18" t="s">
        <v>11</v>
      </c>
      <c r="K11" s="18">
        <f>COUNTIFS(Tabela23[NOME FUNCIONÁRIO],Tabela23[[#This Row],[NOME FUNCIONÁRIO]],Tabela23[TIPO],$J$4)</f>
        <v>0</v>
      </c>
      <c r="L11" s="19">
        <v>8</v>
      </c>
      <c r="M11" s="19"/>
      <c r="N11" s="19"/>
      <c r="O11" s="19"/>
      <c r="P11" s="19">
        <v>4</v>
      </c>
      <c r="Q11" s="19"/>
      <c r="R11" s="19"/>
      <c r="S11" s="19"/>
      <c r="T11" s="19"/>
      <c r="U11" s="19">
        <v>8</v>
      </c>
      <c r="V11" s="19">
        <v>8</v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21"/>
    </row>
    <row r="12" spans="1:42" s="9" customFormat="1" ht="27" customHeight="1" x14ac:dyDescent="0.35">
      <c r="B12" s="17" t="s">
        <v>60</v>
      </c>
      <c r="C12" s="18">
        <v>0</v>
      </c>
      <c r="D12" s="18" t="s">
        <v>63</v>
      </c>
      <c r="E12" s="18" t="s">
        <v>63</v>
      </c>
      <c r="F12" s="18" t="s">
        <v>61</v>
      </c>
      <c r="G12" s="18">
        <v>0</v>
      </c>
      <c r="H12" s="18" t="s">
        <v>67</v>
      </c>
      <c r="I12" s="18" t="s">
        <v>68</v>
      </c>
      <c r="J12" s="18" t="s">
        <v>9</v>
      </c>
      <c r="K12" s="18">
        <f>COUNTIFS(Tabela23[NOME FUNCIONÁRIO],Tabela23[[#This Row],[NOME FUNCIONÁRIO]],Tabela23[TIPO],$J$4)</f>
        <v>1</v>
      </c>
      <c r="L12" s="19">
        <v>210</v>
      </c>
      <c r="M12" s="19">
        <v>210</v>
      </c>
      <c r="N12" s="19">
        <v>210</v>
      </c>
      <c r="O12" s="19">
        <v>210</v>
      </c>
      <c r="P12" s="19">
        <v>210</v>
      </c>
      <c r="Q12" s="19">
        <v>210</v>
      </c>
      <c r="R12" s="19">
        <v>210</v>
      </c>
      <c r="S12" s="19">
        <v>210</v>
      </c>
      <c r="T12" s="19">
        <v>210</v>
      </c>
      <c r="U12" s="19">
        <v>210</v>
      </c>
      <c r="V12" s="19">
        <v>210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21"/>
    </row>
    <row r="13" spans="1:42" s="9" customFormat="1" ht="27" customHeight="1" x14ac:dyDescent="0.35">
      <c r="B13" s="17" t="s">
        <v>60</v>
      </c>
      <c r="C13" s="18">
        <v>0</v>
      </c>
      <c r="D13" s="18" t="s">
        <v>63</v>
      </c>
      <c r="E13" s="18" t="s">
        <v>63</v>
      </c>
      <c r="F13" s="18" t="s">
        <v>61</v>
      </c>
      <c r="G13" s="18"/>
      <c r="H13" s="18"/>
      <c r="I13" s="18"/>
      <c r="J13" s="18" t="s">
        <v>12</v>
      </c>
      <c r="K13" s="18">
        <f>COUNTIFS(Tabela23[NOME FUNCIONÁRIO],Tabela23[[#This Row],[NOME FUNCIONÁRIO]],Tabela23[TIPO],$J$4)</f>
        <v>0</v>
      </c>
      <c r="L13" s="19">
        <v>51</v>
      </c>
      <c r="M13" s="19">
        <v>51</v>
      </c>
      <c r="N13" s="19">
        <v>51</v>
      </c>
      <c r="O13" s="19">
        <v>51</v>
      </c>
      <c r="P13" s="19"/>
      <c r="Q13" s="19">
        <v>85</v>
      </c>
      <c r="R13" s="19"/>
      <c r="S13" s="19"/>
      <c r="T13" s="19">
        <v>136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21"/>
    </row>
    <row r="14" spans="1:42" s="9" customFormat="1" ht="27" customHeight="1" x14ac:dyDescent="0.35">
      <c r="B14" s="17" t="s">
        <v>60</v>
      </c>
      <c r="C14" s="18">
        <v>0</v>
      </c>
      <c r="D14" s="18" t="s">
        <v>63</v>
      </c>
      <c r="E14" s="18" t="s">
        <v>63</v>
      </c>
      <c r="F14" s="18" t="s">
        <v>61</v>
      </c>
      <c r="G14" s="18"/>
      <c r="H14" s="18"/>
      <c r="I14" s="18"/>
      <c r="J14" s="18" t="s">
        <v>11</v>
      </c>
      <c r="K14" s="18">
        <f>COUNTIFS(Tabela23[NOME FUNCIONÁRIO],Tabela23[[#This Row],[NOME FUNCIONÁRIO]],Tabela23[TIPO],$J$4)</f>
        <v>0</v>
      </c>
      <c r="L14" s="19">
        <v>12</v>
      </c>
      <c r="M14" s="19">
        <v>24</v>
      </c>
      <c r="N14" s="19">
        <v>24</v>
      </c>
      <c r="O14" s="19">
        <v>12</v>
      </c>
      <c r="P14" s="19">
        <v>12</v>
      </c>
      <c r="Q14" s="19">
        <v>12</v>
      </c>
      <c r="R14" s="19">
        <v>12</v>
      </c>
      <c r="S14" s="19">
        <v>12</v>
      </c>
      <c r="T14" s="19">
        <v>24</v>
      </c>
      <c r="U14" s="19">
        <v>24</v>
      </c>
      <c r="V14" s="19">
        <v>12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21"/>
    </row>
    <row r="15" spans="1:42" s="9" customFormat="1" ht="27" customHeight="1" x14ac:dyDescent="0.35">
      <c r="B15" s="17" t="s">
        <v>60</v>
      </c>
      <c r="C15" s="18">
        <v>0</v>
      </c>
      <c r="D15" s="18" t="s">
        <v>63</v>
      </c>
      <c r="E15" s="18" t="s">
        <v>63</v>
      </c>
      <c r="F15" s="18" t="s">
        <v>61</v>
      </c>
      <c r="G15" s="18">
        <v>0</v>
      </c>
      <c r="H15" s="18" t="s">
        <v>69</v>
      </c>
      <c r="I15" s="18" t="s">
        <v>70</v>
      </c>
      <c r="J15" s="18" t="s">
        <v>9</v>
      </c>
      <c r="K15" s="18">
        <f>COUNTIFS(Tabela23[NOME FUNCIONÁRIO],Tabela23[[#This Row],[NOME FUNCIONÁRIO]],Tabela23[TIPO],$J$4)</f>
        <v>1</v>
      </c>
      <c r="L15" s="19">
        <v>210</v>
      </c>
      <c r="M15" s="19">
        <v>210</v>
      </c>
      <c r="N15" s="19">
        <v>210</v>
      </c>
      <c r="O15" s="19">
        <v>210</v>
      </c>
      <c r="P15" s="19">
        <v>210</v>
      </c>
      <c r="Q15" s="19">
        <v>210</v>
      </c>
      <c r="R15" s="19">
        <v>210</v>
      </c>
      <c r="S15" s="19">
        <v>210</v>
      </c>
      <c r="T15" s="19">
        <v>210</v>
      </c>
      <c r="U15" s="19">
        <v>210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21"/>
    </row>
    <row r="16" spans="1:42" s="9" customFormat="1" ht="27" customHeight="1" x14ac:dyDescent="0.35">
      <c r="B16" s="17" t="s">
        <v>60</v>
      </c>
      <c r="C16" s="18">
        <v>0</v>
      </c>
      <c r="D16" s="18" t="s">
        <v>63</v>
      </c>
      <c r="E16" s="18" t="s">
        <v>63</v>
      </c>
      <c r="F16" s="18" t="s">
        <v>61</v>
      </c>
      <c r="G16" s="18"/>
      <c r="H16" s="18"/>
      <c r="I16" s="18"/>
      <c r="J16" s="18" t="s">
        <v>12</v>
      </c>
      <c r="K16" s="18">
        <f>COUNTIFS(Tabela23[NOME FUNCIONÁRIO],Tabela23[[#This Row],[NOME FUNCIONÁRIO]],Tabela23[TIPO],$J$4)</f>
        <v>0</v>
      </c>
      <c r="L16" s="19">
        <v>34</v>
      </c>
      <c r="M16" s="19">
        <v>34</v>
      </c>
      <c r="N16" s="19">
        <v>51</v>
      </c>
      <c r="O16" s="19">
        <v>51</v>
      </c>
      <c r="P16" s="19">
        <v>34</v>
      </c>
      <c r="Q16" s="19">
        <v>34</v>
      </c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21"/>
    </row>
    <row r="17" spans="2:42" s="9" customFormat="1" ht="27" customHeight="1" x14ac:dyDescent="0.35">
      <c r="B17" s="17" t="s">
        <v>60</v>
      </c>
      <c r="C17" s="18">
        <v>0</v>
      </c>
      <c r="D17" s="18" t="s">
        <v>63</v>
      </c>
      <c r="E17" s="18" t="s">
        <v>63</v>
      </c>
      <c r="F17" s="18" t="s">
        <v>61</v>
      </c>
      <c r="G17" s="18"/>
      <c r="H17" s="18"/>
      <c r="I17" s="18"/>
      <c r="J17" s="18" t="s">
        <v>11</v>
      </c>
      <c r="K17" s="18">
        <f>COUNTIFS(Tabela23[NOME FUNCIONÁRIO],Tabela23[[#This Row],[NOME FUNCIONÁRIO]],Tabela23[TIPO],$J$4)</f>
        <v>0</v>
      </c>
      <c r="L17" s="19">
        <v>12</v>
      </c>
      <c r="M17" s="19">
        <v>24</v>
      </c>
      <c r="N17" s="19">
        <v>24</v>
      </c>
      <c r="O17" s="19">
        <v>12</v>
      </c>
      <c r="P17" s="19">
        <v>12</v>
      </c>
      <c r="Q17" s="19">
        <v>12</v>
      </c>
      <c r="R17" s="19">
        <v>12</v>
      </c>
      <c r="S17" s="19">
        <v>12</v>
      </c>
      <c r="T17" s="19">
        <v>24</v>
      </c>
      <c r="U17" s="19">
        <v>24</v>
      </c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21"/>
    </row>
    <row r="18" spans="2:42" s="9" customFormat="1" ht="27" customHeight="1" x14ac:dyDescent="0.35">
      <c r="B18" s="17" t="s">
        <v>60</v>
      </c>
      <c r="C18" s="18">
        <v>0</v>
      </c>
      <c r="D18" s="18" t="s">
        <v>63</v>
      </c>
      <c r="E18" s="18" t="s">
        <v>63</v>
      </c>
      <c r="F18" s="18" t="s">
        <v>61</v>
      </c>
      <c r="G18" s="18">
        <v>0</v>
      </c>
      <c r="H18" s="18" t="s">
        <v>71</v>
      </c>
      <c r="I18" s="18" t="s">
        <v>72</v>
      </c>
      <c r="J18" s="18" t="s">
        <v>9</v>
      </c>
      <c r="K18" s="18">
        <f>COUNTIFS(Tabela23[NOME FUNCIONÁRIO],Tabela23[[#This Row],[NOME FUNCIONÁRIO]],Tabela23[TIPO],$J$4)</f>
        <v>1</v>
      </c>
      <c r="L18" s="19">
        <v>130</v>
      </c>
      <c r="M18" s="19">
        <v>130</v>
      </c>
      <c r="N18" s="19">
        <v>130</v>
      </c>
      <c r="O18" s="19">
        <v>130</v>
      </c>
      <c r="P18" s="19">
        <v>130</v>
      </c>
      <c r="Q18" s="19">
        <v>130</v>
      </c>
      <c r="R18" s="19">
        <v>130</v>
      </c>
      <c r="S18" s="19">
        <v>130</v>
      </c>
      <c r="T18" s="19">
        <v>130</v>
      </c>
      <c r="U18" s="19">
        <v>130</v>
      </c>
      <c r="V18" s="19">
        <v>130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21"/>
    </row>
    <row r="19" spans="2:42" s="9" customFormat="1" ht="27" customHeight="1" x14ac:dyDescent="0.35">
      <c r="B19" s="17" t="s">
        <v>60</v>
      </c>
      <c r="C19" s="18">
        <v>0</v>
      </c>
      <c r="D19" s="18" t="s">
        <v>63</v>
      </c>
      <c r="E19" s="18" t="s">
        <v>63</v>
      </c>
      <c r="F19" s="18" t="s">
        <v>61</v>
      </c>
      <c r="G19" s="18"/>
      <c r="H19" s="18"/>
      <c r="I19" s="18"/>
      <c r="J19" s="18" t="s">
        <v>12</v>
      </c>
      <c r="K19" s="18">
        <f>COUNTIFS(Tabela23[NOME FUNCIONÁRIO],Tabela23[[#This Row],[NOME FUNCIONÁRIO]],Tabela23[TIPO],$J$4)</f>
        <v>0</v>
      </c>
      <c r="L19" s="19">
        <v>51</v>
      </c>
      <c r="M19" s="19">
        <v>51</v>
      </c>
      <c r="N19" s="19">
        <v>51</v>
      </c>
      <c r="O19" s="19">
        <v>51</v>
      </c>
      <c r="P19" s="19">
        <v>51</v>
      </c>
      <c r="Q19" s="19">
        <v>51</v>
      </c>
      <c r="R19" s="19">
        <v>51</v>
      </c>
      <c r="S19" s="19">
        <v>51</v>
      </c>
      <c r="T19" s="19">
        <v>51</v>
      </c>
      <c r="U19" s="19">
        <v>51</v>
      </c>
      <c r="V19" s="19">
        <v>51</v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21"/>
    </row>
    <row r="20" spans="2:42" s="9" customFormat="1" ht="27" customHeight="1" x14ac:dyDescent="0.35">
      <c r="B20" s="17" t="s">
        <v>60</v>
      </c>
      <c r="C20" s="18">
        <v>0</v>
      </c>
      <c r="D20" s="18" t="s">
        <v>63</v>
      </c>
      <c r="E20" s="18" t="s">
        <v>63</v>
      </c>
      <c r="F20" s="18" t="s">
        <v>61</v>
      </c>
      <c r="G20" s="18"/>
      <c r="H20" s="18"/>
      <c r="I20" s="18"/>
      <c r="J20" s="18" t="s">
        <v>11</v>
      </c>
      <c r="K20" s="18">
        <f>COUNTIFS(Tabela23[NOME FUNCIONÁRIO],Tabela23[[#This Row],[NOME FUNCIONÁRIO]],Tabela23[TIPO],$J$4)</f>
        <v>0</v>
      </c>
      <c r="L20" s="19">
        <v>12</v>
      </c>
      <c r="M20" s="19">
        <v>24</v>
      </c>
      <c r="N20" s="19">
        <v>24</v>
      </c>
      <c r="O20" s="19">
        <v>12</v>
      </c>
      <c r="P20" s="19">
        <v>12</v>
      </c>
      <c r="Q20" s="19">
        <v>12</v>
      </c>
      <c r="R20" s="19">
        <v>12</v>
      </c>
      <c r="S20" s="19">
        <v>12</v>
      </c>
      <c r="T20" s="19">
        <v>24</v>
      </c>
      <c r="U20" s="19">
        <v>24</v>
      </c>
      <c r="V20" s="19">
        <v>12</v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21"/>
    </row>
    <row r="21" spans="2:42" s="9" customFormat="1" ht="27" customHeight="1" x14ac:dyDescent="0.35">
      <c r="B21" s="17" t="s">
        <v>60</v>
      </c>
      <c r="C21" s="18">
        <v>0</v>
      </c>
      <c r="D21" s="18" t="s">
        <v>63</v>
      </c>
      <c r="E21" s="18" t="s">
        <v>63</v>
      </c>
      <c r="F21" s="18" t="s">
        <v>61</v>
      </c>
      <c r="G21" s="18">
        <v>0</v>
      </c>
      <c r="H21" s="18" t="s">
        <v>73</v>
      </c>
      <c r="I21" s="18" t="s">
        <v>72</v>
      </c>
      <c r="J21" s="18" t="s">
        <v>9</v>
      </c>
      <c r="K21" s="18">
        <f>COUNTIFS(Tabela23[NOME FUNCIONÁRIO],Tabela23[[#This Row],[NOME FUNCIONÁRIO]],Tabela23[TIPO],$J$4)</f>
        <v>1</v>
      </c>
      <c r="L21" s="19"/>
      <c r="M21" s="19"/>
      <c r="N21" s="19"/>
      <c r="O21" s="19"/>
      <c r="P21" s="19"/>
      <c r="Q21" s="19"/>
      <c r="R21" s="19"/>
      <c r="S21" s="19"/>
      <c r="T21" s="19"/>
      <c r="U21" s="19">
        <v>210</v>
      </c>
      <c r="V21" s="19">
        <v>210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21"/>
    </row>
    <row r="22" spans="2:42" s="9" customFormat="1" ht="27" customHeight="1" x14ac:dyDescent="0.35">
      <c r="B22" s="22" t="s">
        <v>60</v>
      </c>
      <c r="C22" s="23">
        <v>0</v>
      </c>
      <c r="D22" s="23" t="s">
        <v>63</v>
      </c>
      <c r="E22" s="23" t="s">
        <v>63</v>
      </c>
      <c r="F22" s="23" t="s">
        <v>61</v>
      </c>
      <c r="G22" s="23"/>
      <c r="H22" s="23"/>
      <c r="I22" s="23"/>
      <c r="J22" s="23" t="s">
        <v>11</v>
      </c>
      <c r="K22" s="23">
        <f>COUNTIFS(Tabela23[NOME FUNCIONÁRIO],Tabela23[[#This Row],[NOME FUNCIONÁRIO]],Tabela23[TIPO],$J$4)</f>
        <v>0</v>
      </c>
      <c r="L22" s="24"/>
      <c r="M22" s="24"/>
      <c r="N22" s="24"/>
      <c r="O22" s="24"/>
      <c r="P22" s="24"/>
      <c r="Q22" s="24"/>
      <c r="R22" s="24"/>
      <c r="S22" s="24"/>
      <c r="T22" s="24"/>
      <c r="U22" s="24">
        <v>12</v>
      </c>
      <c r="V22" s="24">
        <v>12</v>
      </c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5"/>
    </row>
  </sheetData>
  <conditionalFormatting sqref="K2:K1048576">
    <cfRule type="cellIs" dxfId="7" priority="8" operator="greaterThan">
      <formula>1</formula>
    </cfRule>
    <cfRule type="cellIs" dxfId="6" priority="9" operator="greaterThan">
      <formula>1</formula>
    </cfRule>
  </conditionalFormatting>
  <conditionalFormatting sqref="H9:H12 H15 H18 H21 H6">
    <cfRule type="expression" dxfId="5" priority="10">
      <formula>#REF!&lt;TODAY()</formula>
    </cfRule>
  </conditionalFormatting>
  <conditionalFormatting sqref="H7:H8">
    <cfRule type="expression" dxfId="4" priority="7">
      <formula>#REF!&lt;TODAY()</formula>
    </cfRule>
  </conditionalFormatting>
  <conditionalFormatting sqref="H13:H14">
    <cfRule type="expression" dxfId="3" priority="6">
      <formula>#REF!&lt;TODAY()</formula>
    </cfRule>
  </conditionalFormatting>
  <conditionalFormatting sqref="H16:H17">
    <cfRule type="expression" dxfId="2" priority="5">
      <formula>#REF!&lt;TODAY()</formula>
    </cfRule>
  </conditionalFormatting>
  <conditionalFormatting sqref="H19:H20">
    <cfRule type="expression" dxfId="1" priority="4">
      <formula>#REF!&lt;TODAY()</formula>
    </cfRule>
  </conditionalFormatting>
  <conditionalFormatting sqref="H22">
    <cfRule type="expression" dxfId="0" priority="3">
      <formula>#REF!&lt;TODAY()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duplicidade</vt:lpstr>
      <vt:lpstr>preencher vazios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dayane</dc:creator>
  <cp:lastModifiedBy>Bruna Colares Zordenoni</cp:lastModifiedBy>
  <cp:lastPrinted>2025-05-22T13:52:28Z</cp:lastPrinted>
  <dcterms:created xsi:type="dcterms:W3CDTF">2019-01-23T12:14:21Z</dcterms:created>
  <dcterms:modified xsi:type="dcterms:W3CDTF">2025-06-25T17:31:52Z</dcterms:modified>
</cp:coreProperties>
</file>